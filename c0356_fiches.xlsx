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vignevin-my.sharepoint.com/personal/xavier_delpuech_vignevin_com/Documents/Technique/Protocoles/fiches_methodo/"/>
    </mc:Choice>
  </mc:AlternateContent>
  <xr:revisionPtr revIDLastSave="202" documentId="11_B99231273CF9E5AA88D62884B31D0D383ADB42BF" xr6:coauthVersionLast="47" xr6:coauthVersionMax="47" xr10:uidLastSave="{EAADFC63-5DC0-41E5-9425-E819DFDCF79D}"/>
  <bookViews>
    <workbookView xWindow="-120" yWindow="-120" windowWidth="29040" windowHeight="15720" xr2:uid="{00000000-000D-0000-FFFF-FFFF00000000}"/>
  </bookViews>
  <sheets>
    <sheet name="fiche" sheetId="2" r:id="rId1"/>
    <sheet name="Sheet 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2" i="2"/>
  <c r="G34" i="2"/>
  <c r="H34" i="2"/>
  <c r="I34" i="2"/>
  <c r="J34" i="2"/>
  <c r="G35" i="2"/>
  <c r="H35" i="2"/>
  <c r="I35" i="2"/>
  <c r="J35" i="2"/>
  <c r="G36" i="2"/>
  <c r="H36" i="2"/>
  <c r="I36" i="2"/>
  <c r="J36" i="2"/>
  <c r="G37" i="2"/>
  <c r="H37" i="2"/>
  <c r="I37" i="2"/>
  <c r="J37" i="2"/>
  <c r="G38" i="2"/>
  <c r="H38" i="2"/>
  <c r="I38" i="2"/>
  <c r="J38" i="2"/>
  <c r="G39" i="2"/>
  <c r="H39" i="2"/>
  <c r="I39" i="2"/>
  <c r="J39" i="2"/>
  <c r="G40" i="2"/>
  <c r="H40" i="2"/>
  <c r="I40" i="2"/>
  <c r="J40" i="2"/>
  <c r="G41" i="2"/>
  <c r="H41" i="2"/>
  <c r="I41" i="2"/>
  <c r="J41" i="2"/>
  <c r="G42" i="2"/>
  <c r="H42" i="2"/>
  <c r="I42" i="2"/>
  <c r="J42" i="2"/>
  <c r="G43" i="2"/>
  <c r="H43" i="2"/>
  <c r="I43" i="2"/>
  <c r="J43" i="2"/>
  <c r="G44" i="2"/>
  <c r="H44" i="2"/>
  <c r="I44" i="2"/>
  <c r="J44" i="2"/>
  <c r="G45" i="2"/>
  <c r="H45" i="2"/>
  <c r="I45" i="2"/>
  <c r="J45" i="2"/>
  <c r="G46" i="2"/>
  <c r="H46" i="2"/>
  <c r="I46" i="2"/>
  <c r="J46" i="2"/>
  <c r="G26" i="2"/>
  <c r="H26" i="2"/>
  <c r="I26" i="2"/>
  <c r="J26" i="2"/>
  <c r="G27" i="2"/>
  <c r="H27" i="2"/>
  <c r="I27" i="2"/>
  <c r="J27" i="2"/>
  <c r="G28" i="2"/>
  <c r="H28" i="2"/>
  <c r="I28" i="2"/>
  <c r="J28" i="2"/>
  <c r="G29" i="2"/>
  <c r="H29" i="2"/>
  <c r="I29" i="2"/>
  <c r="J29" i="2"/>
  <c r="G30" i="2"/>
  <c r="H30" i="2"/>
  <c r="I30" i="2"/>
  <c r="J30" i="2"/>
  <c r="G31" i="2"/>
  <c r="H31" i="2"/>
  <c r="I31" i="2"/>
  <c r="J31" i="2"/>
  <c r="G32" i="2"/>
  <c r="H32" i="2"/>
  <c r="I32" i="2"/>
  <c r="J32" i="2"/>
  <c r="G33" i="2"/>
  <c r="H33" i="2"/>
  <c r="I33" i="2"/>
  <c r="J33" i="2"/>
  <c r="G25" i="2"/>
  <c r="H25" i="2"/>
  <c r="I25" i="2"/>
  <c r="J25" i="2"/>
  <c r="G23" i="2"/>
  <c r="H23" i="2"/>
  <c r="I23" i="2"/>
  <c r="J23" i="2"/>
  <c r="G24" i="2"/>
  <c r="H24" i="2"/>
  <c r="I24" i="2"/>
  <c r="J24" i="2"/>
  <c r="G21" i="2"/>
  <c r="H21" i="2"/>
  <c r="I21" i="2"/>
  <c r="J21" i="2"/>
  <c r="G22" i="2"/>
  <c r="H22" i="2"/>
  <c r="I22" i="2"/>
  <c r="J22" i="2"/>
  <c r="G19" i="2"/>
  <c r="H19" i="2"/>
  <c r="I19" i="2"/>
  <c r="J19" i="2"/>
  <c r="G20" i="2"/>
  <c r="H20" i="2"/>
  <c r="I20" i="2"/>
  <c r="J20" i="2"/>
  <c r="G18" i="2"/>
  <c r="H18" i="2"/>
  <c r="I18" i="2"/>
  <c r="J18" i="2"/>
  <c r="G14" i="2"/>
  <c r="H14" i="2"/>
  <c r="I14" i="2"/>
  <c r="J14" i="2"/>
  <c r="G15" i="2"/>
  <c r="H15" i="2"/>
  <c r="I15" i="2"/>
  <c r="J15" i="2"/>
  <c r="G16" i="2"/>
  <c r="H16" i="2"/>
  <c r="I16" i="2"/>
  <c r="J16" i="2"/>
  <c r="G17" i="2"/>
  <c r="H17" i="2"/>
  <c r="I17" i="2"/>
  <c r="J17" i="2"/>
  <c r="G13" i="2"/>
  <c r="H13" i="2"/>
  <c r="I13" i="2"/>
  <c r="J13" i="2"/>
  <c r="G9" i="2"/>
  <c r="H9" i="2"/>
  <c r="I9" i="2"/>
  <c r="J9" i="2"/>
  <c r="G10" i="2"/>
  <c r="H10" i="2"/>
  <c r="I10" i="2"/>
  <c r="J10" i="2"/>
  <c r="G11" i="2"/>
  <c r="H11" i="2"/>
  <c r="I11" i="2"/>
  <c r="J11" i="2"/>
  <c r="G12" i="2"/>
  <c r="H12" i="2"/>
  <c r="I12" i="2"/>
  <c r="J12" i="2"/>
  <c r="G5" i="2"/>
  <c r="H5" i="2"/>
  <c r="I5" i="2"/>
  <c r="J5" i="2"/>
  <c r="G6" i="2"/>
  <c r="H6" i="2"/>
  <c r="I6" i="2"/>
  <c r="J6" i="2"/>
  <c r="G7" i="2"/>
  <c r="H7" i="2"/>
  <c r="I7" i="2"/>
  <c r="J7" i="2"/>
  <c r="G8" i="2"/>
  <c r="H8" i="2"/>
  <c r="I8" i="2"/>
  <c r="J8" i="2"/>
  <c r="G3" i="2"/>
  <c r="H3" i="2"/>
  <c r="I3" i="2"/>
  <c r="J3" i="2"/>
  <c r="G4" i="2"/>
  <c r="H4" i="2"/>
  <c r="I4" i="2"/>
  <c r="J4" i="2"/>
  <c r="J2" i="2"/>
  <c r="I2" i="2"/>
  <c r="H2" i="2"/>
  <c r="G2" i="2"/>
</calcChain>
</file>

<file path=xl/sharedStrings.xml><?xml version="1.0" encoding="utf-8"?>
<sst xmlns="http://schemas.openxmlformats.org/spreadsheetml/2006/main" count="5560" uniqueCount="2990">
  <si>
    <t>uri</t>
  </si>
  <si>
    <t>name</t>
  </si>
  <si>
    <t>alternative_name</t>
  </si>
  <si>
    <t>description</t>
  </si>
  <si>
    <t>trait</t>
  </si>
  <si>
    <t>trait_name</t>
  </si>
  <si>
    <t>characteristic_uri</t>
  </si>
  <si>
    <t>characteristic_name</t>
  </si>
  <si>
    <t>unit_uri</t>
  </si>
  <si>
    <t>unit_name</t>
  </si>
  <si>
    <t>entity_uri</t>
  </si>
  <si>
    <t>entity_name</t>
  </si>
  <si>
    <t>method_uri</t>
  </si>
  <si>
    <t>method_name</t>
  </si>
  <si>
    <t>publication_date</t>
  </si>
  <si>
    <t>https://cropontology.org/term/CO_356:1000012</t>
  </si>
  <si>
    <t>ALC_C</t>
  </si>
  <si>
    <t>Alcohol content</t>
  </si>
  <si>
    <t>Alcohol content
Creator : Eric Duchene
Institution : INRAE</t>
  </si>
  <si>
    <t>https://cropontology.org/term/CO_356:2000004</t>
  </si>
  <si>
    <t>Alcohol</t>
  </si>
  <si>
    <t>vitioeno:set/variables#characteristic.alcohol</t>
  </si>
  <si>
    <t>https://cropontology.org/term/CO_356:4000001</t>
  </si>
  <si>
    <t>%v/v</t>
  </si>
  <si>
    <t>gao:50050</t>
  </si>
  <si>
    <t>wine</t>
  </si>
  <si>
    <t>https://cropontology.org/term/CO_356:3000147</t>
  </si>
  <si>
    <t>Alcohol_NIRS_analyser</t>
  </si>
  <si>
    <t>2024-01-03T15:30:41.398995+01:00</t>
  </si>
  <si>
    <t>https://cropontology.org/term/CO_356:1000297</t>
  </si>
  <si>
    <t>BER_K_HPLC</t>
  </si>
  <si>
    <t>Potassium concentration of the berries (IC-HPLC, mg/l)</t>
  </si>
  <si>
    <t>Potassium concentration of the berries (IC-HPLC, mg/l)
Creator : Eric Duchene
Institution : INRAE</t>
  </si>
  <si>
    <t>https://cropontology.org/term/CO_356:2000122</t>
  </si>
  <si>
    <t>Potassium concentration</t>
  </si>
  <si>
    <t>vitioeno:set/variables#characteristic.potassium</t>
  </si>
  <si>
    <t>UO:0000273</t>
  </si>
  <si>
    <t>mg/l</t>
  </si>
  <si>
    <t>gao:30050</t>
  </si>
  <si>
    <t>baie | berry</t>
  </si>
  <si>
    <t>https://cropontology.org/term/CO_356:3000260</t>
  </si>
  <si>
    <t>HPLC ion exchange</t>
  </si>
  <si>
    <t>2024-01-03T15:30:41.706536+01:00</t>
  </si>
  <si>
    <t>https://cropontology.org/term/CO_356:1000298</t>
  </si>
  <si>
    <t>BER_MAL_g</t>
  </si>
  <si>
    <t>Malic acid concentration of the berries (Enzym., g/l)</t>
  </si>
  <si>
    <t>Malic acid concentration of the berries (Enzym., g/l)
Creator : Eric Duchene
Institution : INRAE</t>
  </si>
  <si>
    <t>https://cropontology.org/term/CO_356:2000065</t>
  </si>
  <si>
    <t>Berry: malic acid concentration</t>
  </si>
  <si>
    <t>vitioeno:set/variables#characteristic.organic-acids</t>
  </si>
  <si>
    <t>malic acid concentration</t>
  </si>
  <si>
    <t>UO:0000175</t>
  </si>
  <si>
    <t>g/l</t>
  </si>
  <si>
    <t>https://cropontology.org/term/CO_356:3000150</t>
  </si>
  <si>
    <t>Mal_Enzymatic</t>
  </si>
  <si>
    <t>2024-01-03T15:30:42.044273+01:00</t>
  </si>
  <si>
    <t>https://cropontology.org/term/CO_356:1000299</t>
  </si>
  <si>
    <t>BER_MAL_HPLC</t>
  </si>
  <si>
    <t>Malic acid concentration of the berries (HPLC, g/l)</t>
  </si>
  <si>
    <t>Malic acid concentration of the berries (HPLC, g/l)
Creator : Eric Duchene
Institution : INRAE</t>
  </si>
  <si>
    <t>https://cropontology.org/term/CO_356:3000259</t>
  </si>
  <si>
    <t>HPLC</t>
  </si>
  <si>
    <t>2024-01-03T15:30:42.350057+01:00</t>
  </si>
  <si>
    <t>https://cropontology.org/term/CO_356:1000312</t>
  </si>
  <si>
    <t>BER_SOUR_ROT_1_9</t>
  </si>
  <si>
    <t>Berry sour rot estimation (1 to 9 scale)</t>
  </si>
  <si>
    <t>Berry sour rot estimation (1 to 9 scale)
Creator : Eric Duchene
Institution : INRAE</t>
  </si>
  <si>
    <t>https://cropontology.org/term/CO_356:2000239</t>
  </si>
  <si>
    <t>Berry: Sour rot</t>
  </si>
  <si>
    <t>vitioeno:id/variable/characteristic.sour_rot</t>
  </si>
  <si>
    <t>Sour rot</t>
  </si>
  <si>
    <t>https://cropontology.org/term/CO_356:4000032</t>
  </si>
  <si>
    <t>S1_9</t>
  </si>
  <si>
    <t>https://cropontology.org/term/CO_356:3000268</t>
  </si>
  <si>
    <t>Visual rating</t>
  </si>
  <si>
    <t>2024-01-03T15:30:42.66601+01:00</t>
  </si>
  <si>
    <t>https://cropontology.org/term/CO_356:1000311</t>
  </si>
  <si>
    <t>BER_SOUR_TOT_PC</t>
  </si>
  <si>
    <t>Percentage of berries with sour rot</t>
  </si>
  <si>
    <t>Percentage of berries with sour rot
Creator : Eric Duchene
Institution : INRAE</t>
  </si>
  <si>
    <t>https://cropontology.org/term/CO_356:4000014</t>
  </si>
  <si>
    <t>%</t>
  </si>
  <si>
    <t>https://cropontology.org/term/CO_356:3000155</t>
  </si>
  <si>
    <t>Visual_percentage</t>
  </si>
  <si>
    <t>2024-01-03T15:30:42.99352+01:00</t>
  </si>
  <si>
    <t>https://cropontology.org/term/CO_356:1000302</t>
  </si>
  <si>
    <t>BER_TA_g</t>
  </si>
  <si>
    <t>Titratable acidity of the berries (g/l H2SO4)</t>
  </si>
  <si>
    <t>Titratable acidity of the berries (g/l H2SO4)
Creator : Eric Duchene
Institution : INRAE</t>
  </si>
  <si>
    <t>https://cropontology.org/term/CO_356:2000157</t>
  </si>
  <si>
    <t>Berry: titratable acidity</t>
  </si>
  <si>
    <t>https://cropontology.org/term/CO_356:4000059</t>
  </si>
  <si>
    <t>g/l eq H2SO4</t>
  </si>
  <si>
    <t>https://cropontology.org/term/CO_356:3000153</t>
  </si>
  <si>
    <t>TA_AutomaticTitrator</t>
  </si>
  <si>
    <t>2024-01-03T15:30:43.304519+01:00</t>
  </si>
  <si>
    <t>https://cropontology.org/term/CO_356:1000303</t>
  </si>
  <si>
    <t>BER_TA_man_g</t>
  </si>
  <si>
    <t>Berry tiratable acidity (manual titration, g/l H2SO4)</t>
  </si>
  <si>
    <t>Berry tiratable acidity (manual titration, g/l H2SO4)
Creator : Eric Duchene
Institution : INRAE</t>
  </si>
  <si>
    <t>https://cropontology.org/term/CO_356:3000261</t>
  </si>
  <si>
    <t>Manual titration</t>
  </si>
  <si>
    <t>2024-01-03T15:30:43.752648+01:00</t>
  </si>
  <si>
    <t>https://cropontology.org/term/CO_356:1000300</t>
  </si>
  <si>
    <t>BER_TART_g</t>
  </si>
  <si>
    <t>Tartaric acid concentration in the berries (Metav.., g/l)</t>
  </si>
  <si>
    <t>Tartaric acid concentration in the berries (Metav.., g/l)
Creator : Eric Duchene
Institution : INRAE</t>
  </si>
  <si>
    <t>https://cropontology.org/term/CO_356:2000150</t>
  </si>
  <si>
    <t>Berry: tartaric acid concentration</t>
  </si>
  <si>
    <t>https://cropontology.org/term/CO_356:3000154</t>
  </si>
  <si>
    <t>Tart_metavanadate</t>
  </si>
  <si>
    <t>2024-01-03T15:30:44.032859+01:00</t>
  </si>
  <si>
    <t>https://cropontology.org/term/CO_356:1000301</t>
  </si>
  <si>
    <t>BER_TART_HPLC_g</t>
  </si>
  <si>
    <t>Tartaric acid concentration in the berries (HPLC, g/l)</t>
  </si>
  <si>
    <t>Tartaric acid concentration in the berries (HPLC, g/l)
Creator : Eric Duchene
Institution : INRAE</t>
  </si>
  <si>
    <t>2024-01-03T15:30:44.341779+01:00</t>
  </si>
  <si>
    <t>https://cropontology.org/term/CO_356:1000013</t>
  </si>
  <si>
    <t>BERRY_ANTHO</t>
  </si>
  <si>
    <t>Berry Anthocyanins content</t>
  </si>
  <si>
    <t>Berry Anthocyanins content
Creator : Eric Duchene
Institution : INRAE</t>
  </si>
  <si>
    <t>https://cropontology.org/term/CO_356:2000005</t>
  </si>
  <si>
    <t>Anthocyanins (berry)</t>
  </si>
  <si>
    <t>vitioeno:set/variables#characteristic.anthocyanins</t>
  </si>
  <si>
    <t>Anthocyanins content</t>
  </si>
  <si>
    <t>UO:0000308</t>
  </si>
  <si>
    <t>mg/kg</t>
  </si>
  <si>
    <t>https://cropontology.org/term/CO_356:3000142</t>
  </si>
  <si>
    <t>SPE-GC-MS</t>
  </si>
  <si>
    <t>2024-01-03T15:30:44.63522+01:00</t>
  </si>
  <si>
    <t>https://cropontology.org/term/CO_356:1000536</t>
  </si>
  <si>
    <t>BERRY_Ca_HPLC</t>
  </si>
  <si>
    <t>Berry Calcium concentration (HPLC mg/l)</t>
  </si>
  <si>
    <t>Berry Calcium concentration (HPLC mg/l)
Creator : Eric Duchene
Institution : INRAE</t>
  </si>
  <si>
    <t>https://cropontology.org/term/CO_356:2000284</t>
  </si>
  <si>
    <t>Berry: calcium concentration</t>
  </si>
  <si>
    <t>vitioeno:id/variable/characteristic.calcium_concentration</t>
  </si>
  <si>
    <t>calcium concentration</t>
  </si>
  <si>
    <t>2024-01-03T15:32:37.858499+01:00</t>
  </si>
  <si>
    <t>https://cropontology.org/term/CO_356:1000237</t>
  </si>
  <si>
    <t>BERRY_DO280</t>
  </si>
  <si>
    <t>Berry Total Phenolic Content (DO 280)</t>
  </si>
  <si>
    <t>Berry Total Phenolic Content (DO 280)
Creator : Eric Duchene
Institution : INRAE</t>
  </si>
  <si>
    <t>https://cropontology.org/term/CO_356:2000159</t>
  </si>
  <si>
    <t>Total Phenolic</t>
  </si>
  <si>
    <t>vitioeno:set/variables#characteristic.phenolics</t>
  </si>
  <si>
    <t>Total phenolic content</t>
  </si>
  <si>
    <t>https://cropontology.org/term/CO_356:4000040</t>
  </si>
  <si>
    <t>Optical density</t>
  </si>
  <si>
    <t>https://cropontology.org/term/CO_356:3000148</t>
  </si>
  <si>
    <t>Spectrophotometer_Optical_density</t>
  </si>
  <si>
    <t>2024-01-03T15:30:45.172261+01:00</t>
  </si>
  <si>
    <t>https://cropontology.org/term/CO_356:1000187</t>
  </si>
  <si>
    <t>BERRY_K</t>
  </si>
  <si>
    <t>Potassium concentration in the berries (flame spec., mg/l)</t>
  </si>
  <si>
    <t>Potassium concentration in the berries (flame spec., mg/l)
Creator : Eric Duchene
Institution : INRAE</t>
  </si>
  <si>
    <t>https://cropontology.org/term/CO_356:3000149</t>
  </si>
  <si>
    <t>K_FlameSpectro</t>
  </si>
  <si>
    <t>2024-01-03T15:30:45.484777+01:00</t>
  </si>
  <si>
    <t>https://cropontology.org/term/CO_356:1000102</t>
  </si>
  <si>
    <t>BERRY_MAL_meq</t>
  </si>
  <si>
    <t>Malic acid concentration in the berries (Enzym., meq/l)</t>
  </si>
  <si>
    <t>Malic acid concentration in the berries (Enzym., meq/l)
Creator : Eric Duchene
Institution : INRAE</t>
  </si>
  <si>
    <t>https://cropontology.org/term/CO_356:4000012</t>
  </si>
  <si>
    <t>meq/l</t>
  </si>
  <si>
    <t>2024-01-03T15:30:45.788381+01:00</t>
  </si>
  <si>
    <t>https://cropontology.org/term/CO_356:1000537</t>
  </si>
  <si>
    <t>BERRY_Mg_HPLC</t>
  </si>
  <si>
    <t>Berry Magnesium concentration (HPLC mg/l)</t>
  </si>
  <si>
    <t>Berry Magnesium concentration (HPLC mg/l)
Creator : Eric Duchene
Institution : INRAE</t>
  </si>
  <si>
    <t>https://cropontology.org/term/CO_356:2000285</t>
  </si>
  <si>
    <t>Berry: magnesium concentration</t>
  </si>
  <si>
    <t>vitioeno:id/variable/characteristic.magnesium_concentration</t>
  </si>
  <si>
    <t>Magnesium concentration</t>
  </si>
  <si>
    <t>2024-01-03T15:32:38.20655+01:00</t>
  </si>
  <si>
    <t>https://cropontology.org/term/CO_356:1000351</t>
  </si>
  <si>
    <t>BERRY_N_AA</t>
  </si>
  <si>
    <t>Berry Nitrogen content (amino ac.,col, mg/l)</t>
  </si>
  <si>
    <t>Berry Nitrogen content (amino ac.,col, mg/l)
Creator : Eric Duchene
Institution : INRAE</t>
  </si>
  <si>
    <t>https://cropontology.org/term/CO_356:2000276</t>
  </si>
  <si>
    <t>Berry: nitrogen content (amino acids)</t>
  </si>
  <si>
    <t>vitioeno:id/variable/characteristic.nitrogen_content_amino_acids</t>
  </si>
  <si>
    <t>nitrogen content (amino acids)</t>
  </si>
  <si>
    <t>https://cropontology.org/term/CO_356:3000272</t>
  </si>
  <si>
    <t>Nitrogen (amino ac.) - colorimetric</t>
  </si>
  <si>
    <t>2024-01-03T15:30:46.082554+01:00</t>
  </si>
  <si>
    <t>https://cropontology.org/term/CO_356:1000352</t>
  </si>
  <si>
    <t>BERRY_N_NH4</t>
  </si>
  <si>
    <t>Berry nitrogen content (ammoniacal, enz. mg/l)</t>
  </si>
  <si>
    <t>Berry nitrogen content (ammoniacal, enz. mg/l)
Creator : Eric Duchene
Institution : INRAE</t>
  </si>
  <si>
    <t>https://cropontology.org/term/CO_356:2000277</t>
  </si>
  <si>
    <t>Berry nitrogen content (ammoniacal)</t>
  </si>
  <si>
    <t>vitioeno:id/variable/characteristic.nitrogen_content_ammoniacal</t>
  </si>
  <si>
    <t>Nitrogen content (ammoniacal)</t>
  </si>
  <si>
    <t>https://cropontology.org/term/CO_356:3000271</t>
  </si>
  <si>
    <t>Nitrogen (ammoniacal) - enzymatic</t>
  </si>
  <si>
    <t>2024-01-03T15:30:46.401408+01:00</t>
  </si>
  <si>
    <t>https://cropontology.org/term/CO_356:1000535</t>
  </si>
  <si>
    <t>BERRY_N_NH4&amp;AA</t>
  </si>
  <si>
    <t>Berry nitrogen content (sum of N-NH4 and N-amino ac.)</t>
  </si>
  <si>
    <t>Berry nitrogen content (sum of N-NH4 and N-amino ac.)
Creator : Eric Duchene
Institution : INRAE</t>
  </si>
  <si>
    <t>vitioeno:id/variable/characteristic.nitrogen_content_total</t>
  </si>
  <si>
    <t>Nitrogen content (total)</t>
  </si>
  <si>
    <t>https://cropontology.org/term/CO_356:3000263</t>
  </si>
  <si>
    <t>Total assimilable nitrogen (sum of NH4 and AA)</t>
  </si>
  <si>
    <t>2024-01-03T15:30:46.707253+01:00</t>
  </si>
  <si>
    <t>https://cropontology.org/term/CO_356:1000538</t>
  </si>
  <si>
    <t>BERRY_NH4</t>
  </si>
  <si>
    <t>Berry Ammonium concentration (HPLC mg/l)</t>
  </si>
  <si>
    <t>Berry Ammonium concentration (HPLC mg/l)
Creator : Eric Duchene
Institution : INRAE</t>
  </si>
  <si>
    <t>vitioeno:id/variable/characteristic.ammonium_concentration</t>
  </si>
  <si>
    <t>Ammonium concentration</t>
  </si>
  <si>
    <t>2024-01-03T15:32:38.55509+01:00</t>
  </si>
  <si>
    <t>https://cropontology.org/term/CO_356:1000184</t>
  </si>
  <si>
    <t>BERRY_pH</t>
  </si>
  <si>
    <t>Berry pH</t>
  </si>
  <si>
    <t>Berry pH
Creator : Eric Duchene
Institution : INRAE</t>
  </si>
  <si>
    <t>https://cropontology.org/term/CO_356:2000121</t>
  </si>
  <si>
    <t>pH</t>
  </si>
  <si>
    <t>https://cropontology.org/term/CO_356:4000041</t>
  </si>
  <si>
    <t>https://cropontology.org/term/CO_356:3000151</t>
  </si>
  <si>
    <t>pH_meter</t>
  </si>
  <si>
    <t>2024-01-03T15:30:47.089989+01:00</t>
  </si>
  <si>
    <t>https://cropontology.org/term/CO_356:1000217</t>
  </si>
  <si>
    <t>BERRY_SUG_g</t>
  </si>
  <si>
    <t>Berry Sugar concentration (g/l)</t>
  </si>
  <si>
    <t>Berry Sugar concentration (g/l)
Creator : Eric Duchene
Institution : INRAE</t>
  </si>
  <si>
    <t>https://cropontology.org/term/CO_356:2000146</t>
  </si>
  <si>
    <t>Sugar</t>
  </si>
  <si>
    <t>vitioeno:set/variables#characteristic.sugar-content</t>
  </si>
  <si>
    <t>Sugar concentration</t>
  </si>
  <si>
    <t>https://cropontology.org/term/CO_356:3000152</t>
  </si>
  <si>
    <t>Sug_refracto</t>
  </si>
  <si>
    <t>2024-01-03T15:30:47.406128+01:00</t>
  </si>
  <si>
    <t>https://cropontology.org/term/CO_356:1000231</t>
  </si>
  <si>
    <t>BERRY_TA_meq</t>
  </si>
  <si>
    <t>Titratable acidity in the berries (meq/l)</t>
  </si>
  <si>
    <t>Titratable acidity in the berries (meq/l)
Creator : Eric Duchene
Institution : INRAE</t>
  </si>
  <si>
    <t>2024-01-03T15:30:47.738822+01:00</t>
  </si>
  <si>
    <t>https://cropontology.org/term/CO_356:1000222</t>
  </si>
  <si>
    <t>BERRY_TART_meq</t>
  </si>
  <si>
    <t>Tartaric acid concentration in the berries (Metavan., meq/l)</t>
  </si>
  <si>
    <t>Tartaric acid concentration in the berries (Metavan., meq/l)
Creator : Eric Duchene
Institution : INRAE</t>
  </si>
  <si>
    <t>2024-01-03T15:30:48.091185+01:00</t>
  </si>
  <si>
    <t>https://cropontology.org/term/CO_356:1000053</t>
  </si>
  <si>
    <t>BERRY_TOTATERP</t>
  </si>
  <si>
    <t>Concentrations of free and bound alpha-terpineol in the berries, AlphaTerp_Tot_Berry</t>
  </si>
  <si>
    <t>Concentrations of free and bound alpha-terpineol in the berries, AlphaTerp_Tot_Berry
Creator : Eric Duchene
Institution : INRAE</t>
  </si>
  <si>
    <t>https://cropontology.org/term/CO_356:2000033</t>
  </si>
  <si>
    <t>Concentrations of free and bound alpha-terpineol</t>
  </si>
  <si>
    <t>vitioeno:set/variables#characteristic.terpenols</t>
  </si>
  <si>
    <t>Alpha-terpineol concentration</t>
  </si>
  <si>
    <t>https://cropontology.org/term/CO_356:4000008</t>
  </si>
  <si>
    <t>microg/kg</t>
  </si>
  <si>
    <t>2024-01-03T15:30:48.400253+01:00</t>
  </si>
  <si>
    <t>https://cropontology.org/term/CO_356:1000054</t>
  </si>
  <si>
    <t>BERRY_TOTCITRO</t>
  </si>
  <si>
    <t>Concentrations of free and bound citronellol in the berries, Citronellol_Tot_Berry</t>
  </si>
  <si>
    <t>Concentrations of free and bound citronellol in the berries, Citronellol_Tot_Berry
Creator : Eric Duchene
Institution : INRAE</t>
  </si>
  <si>
    <t>https://cropontology.org/term/CO_356:2000034</t>
  </si>
  <si>
    <t>Concentrations of free and bound citronellol</t>
  </si>
  <si>
    <t>2024-01-03T15:30:48.730991+01:00</t>
  </si>
  <si>
    <t>https://cropontology.org/term/CO_356:1000055</t>
  </si>
  <si>
    <t>BERRY_TOTGERAN</t>
  </si>
  <si>
    <t>Concentrations of free and bound geraniol in the berries, Geraniol_Tot_Berry</t>
  </si>
  <si>
    <t>Concentrations of free and bound geraniol in the berries, Geraniol_Tot_Berry
Creator : Eric Duchene
Institution : INRAE</t>
  </si>
  <si>
    <t>https://cropontology.org/term/CO_356:2000035</t>
  </si>
  <si>
    <t>Concentrations of free and bound geraniol</t>
  </si>
  <si>
    <t>2024-01-03T15:30:49.104545+01:00</t>
  </si>
  <si>
    <t>https://cropontology.org/term/CO_356:1000056</t>
  </si>
  <si>
    <t>BERRY_TOTLIN</t>
  </si>
  <si>
    <t>Concentrations of free and bound linalool in the berries, Linalool_Tot_Berry</t>
  </si>
  <si>
    <t>Concentrations of free and bound linalool in the berries, Linalool_Tot_Berry
Creator : Eric Duchene
Institution : INRAE</t>
  </si>
  <si>
    <t>https://cropontology.org/term/CO_356:2000036</t>
  </si>
  <si>
    <t>Concentrations of free and bound linalool</t>
  </si>
  <si>
    <t>2024-01-03T15:30:49.438836+01:00</t>
  </si>
  <si>
    <t>https://cropontology.org/term/CO_356:1000057</t>
  </si>
  <si>
    <t>BERRY_TOTNER</t>
  </si>
  <si>
    <t>Concentrations of free and bound nerol in the berries, Nerol_Tot_Berry</t>
  </si>
  <si>
    <t>Concentrations of free and bound nerol in the berries, Nerol_Tot_Berry
Creator : Eric Duchene
Institution : INRAE</t>
  </si>
  <si>
    <t>https://cropontology.org/term/CO_356:2000037</t>
  </si>
  <si>
    <t>Concentrations of free and bound nerol</t>
  </si>
  <si>
    <t>2024-01-03T15:30:49.784007+01:00</t>
  </si>
  <si>
    <t>https://cropontology.org/term/CO_356:1000171</t>
  </si>
  <si>
    <t>BLACKR_BER_PC</t>
  </si>
  <si>
    <t>Percentage of berries destroyed by Black rot</t>
  </si>
  <si>
    <t>Percentage of berries destroyed by Black rot
Creator : Eric Duchene
Institution : INRAE</t>
  </si>
  <si>
    <t>https://cropontology.org/term/CO_356:2000108</t>
  </si>
  <si>
    <t>vitioeno:set/variables#characteristic.black-rot</t>
  </si>
  <si>
    <t>Percentage destroyed by Black rot</t>
  </si>
  <si>
    <t>2024-01-03T15:30:50.126573+01:00</t>
  </si>
  <si>
    <t>https://cropontology.org/term/CO_256:1000543</t>
  </si>
  <si>
    <t>BLACKROT_RESIST_1_9</t>
  </si>
  <si>
    <t>Resistance to Black rot on leaves (1-9 scale OIV type)</t>
  </si>
  <si>
    <t>Resistance to Black rot on leaves (1-9 scale OIV type)
Creator : Eric Duchene
Institution : INRAE</t>
  </si>
  <si>
    <t>https://cropontology.org/term/CO_356:2000290</t>
  </si>
  <si>
    <t>Resistance to Black rot on leaves</t>
  </si>
  <si>
    <t>vitioeno:id/variable/characteristic.resistance_to_black_rot</t>
  </si>
  <si>
    <t>Resistance to Black rot</t>
  </si>
  <si>
    <t>https://cropontology.org/term/CO_356:4000028</t>
  </si>
  <si>
    <t>S1_9_by2</t>
  </si>
  <si>
    <t>gao:20010</t>
  </si>
  <si>
    <t>feuille | leaf</t>
  </si>
  <si>
    <t>https://cropontology.org/term/CO_356:3000284</t>
  </si>
  <si>
    <t>Visual rating - OIV protocol</t>
  </si>
  <si>
    <t>2024-01-03T15:32:40.221076+01:00</t>
  </si>
  <si>
    <t>https://cropontology.org/term/CO_356:1000174</t>
  </si>
  <si>
    <t>BOTRY_BER_PC</t>
  </si>
  <si>
    <t>Percentage of berries with grey rot (Botryrtis)</t>
  </si>
  <si>
    <t>Percentage of berries with grey rot (Botryrtis)
Creator : Eric Duchene
Institution : INRAE</t>
  </si>
  <si>
    <t>https://cropontology.org/term/CO_356:2000111</t>
  </si>
  <si>
    <t>Percentage of berries with grey rot</t>
  </si>
  <si>
    <t>vitioeno:set/variables#characteristic.botrytis</t>
  </si>
  <si>
    <t>Percentage with Botrytis</t>
  </si>
  <si>
    <t>2024-01-03T15:30:50.458745+01:00</t>
  </si>
  <si>
    <t>https://cropontology.org/term/CO_356:1000045</t>
  </si>
  <si>
    <t>BOTRY_CLUST_OIV_459</t>
  </si>
  <si>
    <t>Cluster: degree of resistance to Botrytis</t>
  </si>
  <si>
    <t>Cluster: degree of resistance to Botrytis
Creator : Eric Duchene
Institution : INRAE</t>
  </si>
  <si>
    <t>https://cropontology.org/term/CO_356:2000232</t>
  </si>
  <si>
    <t>Resistance to Botrytis (Cluster)</t>
  </si>
  <si>
    <t>https://cropontology.org/term/CO_356:4000034</t>
  </si>
  <si>
    <t>S3_5_9</t>
  </si>
  <si>
    <t>gao:30060</t>
  </si>
  <si>
    <t>grappe | cluster</t>
  </si>
  <si>
    <t>https://cropontology.org/term/CO_356:3000114</t>
  </si>
  <si>
    <t>OIV:459</t>
  </si>
  <si>
    <t>2024-01-03T15:30:50.800898+01:00</t>
  </si>
  <si>
    <t>https://cropontology.org/term/CO_356:1000095</t>
  </si>
  <si>
    <t>BOTRY_LEAF_OIV_458</t>
  </si>
  <si>
    <t>Leaf: degree of resistance to Botrytis</t>
  </si>
  <si>
    <t>Leaf: degree of resistance to Botrytis
Creator : Eric Duchene
Institution : INRAE</t>
  </si>
  <si>
    <t>https://cropontology.org/term/CO_356:2000028</t>
  </si>
  <si>
    <t>Resistance to Botrytis (Leaf)</t>
  </si>
  <si>
    <t>https://cropontology.org/term/CO_356:3000112</t>
  </si>
  <si>
    <t>OIV:458</t>
  </si>
  <si>
    <t>2024-01-03T15:30:51.13859+01:00</t>
  </si>
  <si>
    <t>https://cropontology.org/term/CO_356:1000096</t>
  </si>
  <si>
    <t>BOTRYL_LEAFLAB_OIV</t>
  </si>
  <si>
    <t>Leaf: degree of resistance to Botrytis (laboratory analysis)</t>
  </si>
  <si>
    <t>Leaf: degree of resistance to Botrytis (laboratory analysis)
Creator : Eric Duchene
Institution : INRAE</t>
  </si>
  <si>
    <t>https://cropontology.org/term/CO_356:3000113</t>
  </si>
  <si>
    <t>OIV:458-1</t>
  </si>
  <si>
    <t>2024-01-03T15:30:51.464044+01:00</t>
  </si>
  <si>
    <t>https://cropontology.org/term/CO_356:1000001</t>
  </si>
  <si>
    <t>BUD_DATE</t>
  </si>
  <si>
    <t>Budbreak date (50%)</t>
  </si>
  <si>
    <t>Budbreak date (50%)
Creator : Eric Duchene
Institution : INRAE</t>
  </si>
  <si>
    <t>https://cropontology.org/term/CO_356:2000000</t>
  </si>
  <si>
    <t>Budbreak</t>
  </si>
  <si>
    <t>vitioeno:set/variables#characteristic.budbreak</t>
  </si>
  <si>
    <t>https://cropontology.org/term/CO_356:4000003</t>
  </si>
  <si>
    <t>Calendar date</t>
  </si>
  <si>
    <t>vitioeno:id/variable/entity.plant</t>
  </si>
  <si>
    <t>Plant</t>
  </si>
  <si>
    <t>https://cropontology.org/term/CO_356:3000146</t>
  </si>
  <si>
    <t>Stage_Interpolation</t>
  </si>
  <si>
    <t>2024-01-03T15:30:51.816467+01:00</t>
  </si>
  <si>
    <t>https://cropontology.org/term/CO_356:1000226</t>
  </si>
  <si>
    <t>BUDB_OIV_301</t>
  </si>
  <si>
    <t>Time of bud burst</t>
  </si>
  <si>
    <t>Time of bud burst
Creator : Eric Duchene
Institution : INRAE</t>
  </si>
  <si>
    <t>https://cropontology.org/term/CO_356:3000093</t>
  </si>
  <si>
    <t>OIV:301</t>
  </si>
  <si>
    <t>2024-01-03T15:30:52.148192+01:00</t>
  </si>
  <si>
    <t>https://cropontology.org/term/CO_356:1000197</t>
  </si>
  <si>
    <t>CANES_Y_OIV_551</t>
  </si>
  <si>
    <t>Rootstock: yield of canes/ha, OIV:551</t>
  </si>
  <si>
    <t>Rootstock: yield of canes/ha, OIV:551
Creator : Eric Duchene
Institution : INRAE</t>
  </si>
  <si>
    <t>https://cropontology.org/term/CO_356:2000130</t>
  </si>
  <si>
    <t>Rootstock canes/ha</t>
  </si>
  <si>
    <t>vitioeno:set/variables#characteristic.yield</t>
  </si>
  <si>
    <t>Yield</t>
  </si>
  <si>
    <t>gao:40040</t>
  </si>
  <si>
    <t>rootstock | porte-greffe</t>
  </si>
  <si>
    <t>https://cropontology.org/term/CO_356:3000122</t>
  </si>
  <si>
    <t>OIV:551</t>
  </si>
  <si>
    <t>2024-01-03T15:30:52.468207+01:00</t>
  </si>
  <si>
    <t>https://cropontology.org/term/CO_356:1000177</t>
  </si>
  <si>
    <t>COL_BER_PC</t>
  </si>
  <si>
    <t>Percentage of colored berries</t>
  </si>
  <si>
    <t>Percentage of colored berries
Creator : Eric Duchene
Institution : INRAE</t>
  </si>
  <si>
    <t>https://cropontology.org/term/CO_356:2000114</t>
  </si>
  <si>
    <t>vitioeno:set/variables#characteristic.fruit-set</t>
  </si>
  <si>
    <t>Percentage colored</t>
  </si>
  <si>
    <t>2024-01-03T15:30:52.811699+01:00</t>
  </si>
  <si>
    <t>https://cropontology.org/term/CO_356:1000285</t>
  </si>
  <si>
    <t>DM_HRnecrosis</t>
  </si>
  <si>
    <t>Quantification of HR necrosis after DM inoculation</t>
  </si>
  <si>
    <t>Quantification of HR necrosis after DM inoculation
Creator : Eric Duchene
Institution : INRAE</t>
  </si>
  <si>
    <t>https://cropontology.org/term/CO_356:2000188</t>
  </si>
  <si>
    <t>Resistance to Plasmopara (Leaf)</t>
  </si>
  <si>
    <t>vitioeno:set/variables#characteristic.downy-mildew</t>
  </si>
  <si>
    <t>HR necrosis quantification</t>
  </si>
  <si>
    <t>https://cropontology.org/term/CO_356:4000025</t>
  </si>
  <si>
    <t>S1_5</t>
  </si>
  <si>
    <t>https://cropontology.org/term/CO_356:3000254</t>
  </si>
  <si>
    <t>2024-01-03T15:30:53.125857+01:00</t>
  </si>
  <si>
    <t>https://cropontology.org/term/CO_356:1000286</t>
  </si>
  <si>
    <t>DM_SCORE_DISK</t>
  </si>
  <si>
    <t>DM rating  on leaf disks (1-5 scale)</t>
  </si>
  <si>
    <t>DM rating  on leaf disks (1-5 scale)
Creator : Eric Duchene
Institution : INRAE</t>
  </si>
  <si>
    <t>https://cropontology.org/term/CO_356:3000256</t>
  </si>
  <si>
    <t>DM _rating_Kono</t>
  </si>
  <si>
    <t>2024-01-03T15:30:53.57481+01:00</t>
  </si>
  <si>
    <t>https://cropontology.org/term/CO_356:1000287</t>
  </si>
  <si>
    <t>DM_SCORE_VINEYARD</t>
  </si>
  <si>
    <t>DM rating on the most infected leaves (1-10 scale)</t>
  </si>
  <si>
    <t>DM rating on the most infected leaves (1-10 scale)
Creator : Eric Duchene
Institution : INRAE</t>
  </si>
  <si>
    <t>https://cropontology.org/term/CO_356:4000044</t>
  </si>
  <si>
    <t>S1_10</t>
  </si>
  <si>
    <t>https://cropontology.org/term/CO_356:3000257</t>
  </si>
  <si>
    <t>DM_rating_vineyard</t>
  </si>
  <si>
    <t>2024-01-03T15:30:54.099789+01:00</t>
  </si>
  <si>
    <t>https://cropontology.org/term/CO_356:1000283</t>
  </si>
  <si>
    <t>DM_SPOR%DISK_DIVILOV</t>
  </si>
  <si>
    <t>Percentage of leaf disk coverd with downy mildew sporulation (Divilov)</t>
  </si>
  <si>
    <t>Percentage of leaf disk coverd with downy mildew sporulation (Divilov)
Creator : Eric Duchene
Institution : INRAE</t>
  </si>
  <si>
    <t>https://cropontology.org/term/CO_356:3000253</t>
  </si>
  <si>
    <t>DM _sporulation_Divilov</t>
  </si>
  <si>
    <t>2024-01-03T15:30:54.429269+01:00</t>
  </si>
  <si>
    <t>https://cropontology.org/term/CO_356:1000284</t>
  </si>
  <si>
    <t>DM_SPOR%DISK_PERESSOTTI</t>
  </si>
  <si>
    <t>Percentage of leaf disk coverd with downy mildew sporulation (Perssotti)</t>
  </si>
  <si>
    <t>Percentage of leaf disk coverd with downy mildew sporulation (Perssotti)
Creator : Eric Duchene
Institution : INRAE</t>
  </si>
  <si>
    <t>https://cropontology.org/term/CO_356:3000255</t>
  </si>
  <si>
    <t>DM _sporulation_Peressotti</t>
  </si>
  <si>
    <t>2024-01-03T15:30:54.72792+01:00</t>
  </si>
  <si>
    <t>https://cropontology.org/term/CO_356:1000076</t>
  </si>
  <si>
    <t>DOY_BUD</t>
  </si>
  <si>
    <t>Day of Year Budbreak (50%)</t>
  </si>
  <si>
    <t>Day of Year Budbreak (50%)
Creator : Eric Duchene
Institution : INRAE</t>
  </si>
  <si>
    <t>https://cropontology.org/term/CO_356:4000042</t>
  </si>
  <si>
    <t>julian day</t>
  </si>
  <si>
    <t>2024-01-03T15:30:55.039967+01:00</t>
  </si>
  <si>
    <t>https://cropontology.org/term/CO_356:1000077</t>
  </si>
  <si>
    <t>DOY_FLO</t>
  </si>
  <si>
    <t>Day of Year Flowering (50%)</t>
  </si>
  <si>
    <t>Day of Year Flowering (50%)
Creator : Eric Duchene
Institution : INRAE</t>
  </si>
  <si>
    <t>https://cropontology.org/term/CO_356:2000001</t>
  </si>
  <si>
    <t>Flowering</t>
  </si>
  <si>
    <t>vitioeno:set/variables#characteristic.flowering</t>
  </si>
  <si>
    <t>2024-01-03T15:30:55.353595+01:00</t>
  </si>
  <si>
    <t>https://cropontology.org/term/CO_356:1000078</t>
  </si>
  <si>
    <t>DOY_VER</t>
  </si>
  <si>
    <t>Day of Year Veraison (50%)</t>
  </si>
  <si>
    <t>Day of Year Veraison (50%)
Creator : Eric Duchene
Institution : INRAE</t>
  </si>
  <si>
    <t>https://cropontology.org/term/CO_356:2000002</t>
  </si>
  <si>
    <t>Veraison</t>
  </si>
  <si>
    <t>vitioeno:set/variables#characteristic.veraison</t>
  </si>
  <si>
    <t>2024-01-03T15:30:55.738108+01:00</t>
  </si>
  <si>
    <t>https://cropontology.org/term/CO_356:1000066</t>
  </si>
  <si>
    <t>EUTYP_OIV_460</t>
  </si>
  <si>
    <t>Degree of resistance to Eutypa dieback (laboratory analysis)</t>
  </si>
  <si>
    <t>Degree of resistance to Eutypa dieback (laboratory analysis)
Creator : Eric Duchene
Institution : INRAE</t>
  </si>
  <si>
    <t>https://cropontology.org/term/CO_356:2000044</t>
  </si>
  <si>
    <t>Resistance to Eutypa dieback Eutypa</t>
  </si>
  <si>
    <t>vitioeno:set/variables#characteristic.eutypa</t>
  </si>
  <si>
    <t>Resistance to Eutypa dieback</t>
  </si>
  <si>
    <t>https://cropontology.org/term/CO_356:3000115</t>
  </si>
  <si>
    <t>OIV:460</t>
  </si>
  <si>
    <t>2024-01-03T15:30:56.063711+01:00</t>
  </si>
  <si>
    <t>https://cropontology.org/term/CO_356:1000080</t>
  </si>
  <si>
    <t>EXP_LA_M2</t>
  </si>
  <si>
    <t>Exposed leaf area per m2 of soil</t>
  </si>
  <si>
    <t>Exposed leaf area per m2 of soil
Creator : Eric Duchene
Institution : INRAE</t>
  </si>
  <si>
    <t>https://cropontology.org/term/CO_356:2000051</t>
  </si>
  <si>
    <t>Exposed leaf area</t>
  </si>
  <si>
    <t>vitioeno:set/variables#characteristic.area</t>
  </si>
  <si>
    <t>Area</t>
  </si>
  <si>
    <t>https://cropontology.org/term/CO_356:4000009</t>
  </si>
  <si>
    <t>m2/m2</t>
  </si>
  <si>
    <t>https://cropontology.org/term/CO_356:3000160</t>
  </si>
  <si>
    <t>Geometric_ExposedLeafArea</t>
  </si>
  <si>
    <t>2024-01-03T15:30:56.376146+01:00</t>
  </si>
  <si>
    <t>https://cropontology.org/term/CO_356:1000266</t>
  </si>
  <si>
    <t>FERT_GLOB</t>
  </si>
  <si>
    <t>Number of inflorescences per shoot (all kinds of shoots)</t>
  </si>
  <si>
    <t>Number of inflorescences per shoot (all kinds of shoots)
Creator : Eric Duchene
Institution : INRAE</t>
  </si>
  <si>
    <t>https://cropontology.org/term/CO_356:2000227</t>
  </si>
  <si>
    <t>vitioeno:set/variables#characteristic.number</t>
  </si>
  <si>
    <t>Number per shoot</t>
  </si>
  <si>
    <t>https://cropontology.org/term/CO_356:4000036</t>
  </si>
  <si>
    <t>per shoot</t>
  </si>
  <si>
    <t>gao:30080</t>
  </si>
  <si>
    <t>inflorescence | inflorescence</t>
  </si>
  <si>
    <t>https://cropontology.org/term/CO_356:3000161</t>
  </si>
  <si>
    <t>Manual counting</t>
  </si>
  <si>
    <t>2024-01-03T15:30:56.693902+01:00</t>
  </si>
  <si>
    <t>https://cropontology.org/term/CO_356:1000160</t>
  </si>
  <si>
    <t>FERT_NCP</t>
  </si>
  <si>
    <t>Number of inflorescences per non-count position</t>
  </si>
  <si>
    <t>Number of inflorescences per non-count position
Creator : Eric Duchene
Institution : INRAE</t>
  </si>
  <si>
    <t>https://cropontology.org/term/CO_356:2000175</t>
  </si>
  <si>
    <t>Number of inflorescences per shoot on non-count positions</t>
  </si>
  <si>
    <t>2024-01-03T15:30:57.014959+01:00</t>
  </si>
  <si>
    <t>https://cropontology.org/term/CO_356:1000092</t>
  </si>
  <si>
    <t>FERT_OIV_153</t>
  </si>
  <si>
    <t>Number of inflorescences per shoot, OIV:153</t>
  </si>
  <si>
    <t>Number of inflorescences per shoot, OIV:153
Creator : Eric Duchene
Institution : INRAE</t>
  </si>
  <si>
    <t>https://cropontology.org/term/CO_356:2000061</t>
  </si>
  <si>
    <t>Number of inflorescences per shoot</t>
  </si>
  <si>
    <t>https://cropontology.org/term/CO_356:4000024</t>
  </si>
  <si>
    <t>S1_4</t>
  </si>
  <si>
    <t>https://cropontology.org/term/CO_356:3000064</t>
  </si>
  <si>
    <t>OIV:153</t>
  </si>
  <si>
    <t>2024-01-03T15:30:57.350852+01:00</t>
  </si>
  <si>
    <t>https://cropontology.org/term/CO_356:1000267</t>
  </si>
  <si>
    <t>FERT_PRIM</t>
  </si>
  <si>
    <t>Total number of inflorescences/number of primary shoots</t>
  </si>
  <si>
    <t>Total number of inflorescences/number of primary shoots
Creator : Eric Duchene
Institution : INRAE</t>
  </si>
  <si>
    <t>https://cropontology.org/term/CO_356:2000228</t>
  </si>
  <si>
    <t>2024-01-03T15:30:57.685587+01:00</t>
  </si>
  <si>
    <t>https://cropontology.org/term/CO_356:1000161</t>
  </si>
  <si>
    <t>FERT_SHOOT_I</t>
  </si>
  <si>
    <t>Number of inflorescences per primary shoot</t>
  </si>
  <si>
    <t>Number of inflorescences per primary shoot
Creator : Eric Duchene
Institution : INRAE</t>
  </si>
  <si>
    <t>https://cropontology.org/term/CO_356:2000176</t>
  </si>
  <si>
    <t>2024-01-03T15:30:58.001714+01:00</t>
  </si>
  <si>
    <t>https://cropontology.org/term/CO_356:1000162</t>
  </si>
  <si>
    <t>FERT_SHOOT_II</t>
  </si>
  <si>
    <t>Number of inflorescences per secundary shoot</t>
  </si>
  <si>
    <t>Number of inflorescences per secundary shoot
Creator : Eric Duchene
Institution : INRAE</t>
  </si>
  <si>
    <t>https://cropontology.org/term/CO_356:2000177</t>
  </si>
  <si>
    <t>Number of inflorescences per secondary shoot</t>
  </si>
  <si>
    <t>2024-01-03T15:30:58.338548+01:00</t>
  </si>
  <si>
    <t>https://cropontology.org/term/CO_356:1000265</t>
  </si>
  <si>
    <t>FERT_SPURS</t>
  </si>
  <si>
    <t>Number of inflorescences per shoot on spurs</t>
  </si>
  <si>
    <t>Number of inflorescences per shoot on spurs
Creator : Eric Duchene
Institution : INRAE</t>
  </si>
  <si>
    <t>https://cropontology.org/term/CO_356:2000226</t>
  </si>
  <si>
    <t>2024-01-03T15:30:58.688825+01:00</t>
  </si>
  <si>
    <t>https://cropontology.org/term/CO_356:1000011</t>
  </si>
  <si>
    <t>FLO_50</t>
  </si>
  <si>
    <t>Flowering date (50%)</t>
  </si>
  <si>
    <t>Flowering date (50%)
Creator : Eric Duchene
Institution : INRAE</t>
  </si>
  <si>
    <t>2024-01-03T15:30:59.030165+01:00</t>
  </si>
  <si>
    <t>https://cropontology.org/term/CO_356:1000082</t>
  </si>
  <si>
    <t>FLO_END</t>
  </si>
  <si>
    <t>Flowering end</t>
  </si>
  <si>
    <t>Flowering end
Creator : Eric Duchene
Institution : INRAE</t>
  </si>
  <si>
    <t>2024-01-03T15:30:59.34744+01:00</t>
  </si>
  <si>
    <t>https://cropontology.org/term/CO_356:1000229</t>
  </si>
  <si>
    <t>FLO_OIV_302</t>
  </si>
  <si>
    <t>Time of full bloom</t>
  </si>
  <si>
    <t>Time of full bloom
Creator : Eric Duchene
Institution : INRAE</t>
  </si>
  <si>
    <t>https://cropontology.org/term/CO_356:3000094</t>
  </si>
  <si>
    <t>OIV:302</t>
  </si>
  <si>
    <t>2024-01-03T15:30:59.69204+01:00</t>
  </si>
  <si>
    <t>https://cropontology.org/term/CO_356:1000083</t>
  </si>
  <si>
    <t>FLO_START</t>
  </si>
  <si>
    <t>Flowering start</t>
  </si>
  <si>
    <t>Flowering start
Creator : Eric Duchene
Institution : INRAE</t>
  </si>
  <si>
    <t>2024-01-03T15:31:00.011161+01:00</t>
  </si>
  <si>
    <t>https://cropontology.org/term/CO_356:1000335</t>
  </si>
  <si>
    <t>FOL_COVER_%</t>
  </si>
  <si>
    <t>Foliage coverage (% green pixels on a digital picture)</t>
  </si>
  <si>
    <t>Foliage coverage (% green pixels on a digital picture)
Creator : Eric Duchene
Institution : INRAE</t>
  </si>
  <si>
    <t>https://cropontology.org/term/CO_356:3000273</t>
  </si>
  <si>
    <t>Estimation of foliage coverage by image analysis</t>
  </si>
  <si>
    <t>2024-01-03T15:31:00.349301+01:00</t>
  </si>
  <si>
    <t>https://cropontology.org/term/CO_356:1000178</t>
  </si>
  <si>
    <t>FRUITSET_%</t>
  </si>
  <si>
    <t>Percentage of fruit-set</t>
  </si>
  <si>
    <t>Percentage of fruit-set
Creator : Eric Duchene
Institution : INRAE</t>
  </si>
  <si>
    <t>https://cropontology.org/term/CO_356:2000115</t>
  </si>
  <si>
    <t>Percentage of berry set</t>
  </si>
  <si>
    <t>https://cropontology.org/term/CO_356:3000170</t>
  </si>
  <si>
    <t>FRUITSET_%_photos</t>
  </si>
  <si>
    <t>2024-01-03T15:31:00.681501+01:00</t>
  </si>
  <si>
    <t>https://cropontology.org/term/CO_356:1000173</t>
  </si>
  <si>
    <t>FRUITSET_OIV_501</t>
  </si>
  <si>
    <t>Percentage of berry set, OIV:501</t>
  </si>
  <si>
    <t>Percentage of berry set, OIV:501
Creator : Eric Duchene
Institution : INRAE</t>
  </si>
  <si>
    <t>vitioeno:id/variable/characteristic.percentage_of_berry_set</t>
  </si>
  <si>
    <t>https://cropontology.org/term/CO_356:3000143</t>
  </si>
  <si>
    <t>OIV:501</t>
  </si>
  <si>
    <t>2024-01-03T15:31:00.994619+01:00</t>
  </si>
  <si>
    <t>https://cropontology.org/term/CO_356:1000330</t>
  </si>
  <si>
    <t>GBER_K</t>
  </si>
  <si>
    <t>Potassium concentration in green berries (IC-HPLC, mg/l)</t>
  </si>
  <si>
    <t>Potassium concentration in green berries (IC-HPLC, mg/l)
Creator : Eric Duchene
Institution : INRAE</t>
  </si>
  <si>
    <t>https://cropontology.org/term/CO_356:2000258</t>
  </si>
  <si>
    <t>Potassium concentration in green berries</t>
  </si>
  <si>
    <t>gao:30054</t>
  </si>
  <si>
    <t>green berry | baie verte</t>
  </si>
  <si>
    <t>2024-01-03T15:31:01.325456+01:00</t>
  </si>
  <si>
    <t>https://cropontology.org/term/CO_356:1000325</t>
  </si>
  <si>
    <t>GBER_MAL_ENZ_g</t>
  </si>
  <si>
    <t>Malic acid concentration in green berries (Enzym., g/l)</t>
  </si>
  <si>
    <t>Malic acid concentration in green berries (Enzym., g/l)
Creator : Eric Duchene
Institution : INRAE</t>
  </si>
  <si>
    <t>https://cropontology.org/term/CO_356:2000253</t>
  </si>
  <si>
    <t>Malic acid concentration in green berries</t>
  </si>
  <si>
    <t>2024-01-03T15:31:01.65761+01:00</t>
  </si>
  <si>
    <t>https://cropontology.org/term/CO_356:1000539</t>
  </si>
  <si>
    <t>GBER_N_NH4&amp;AA</t>
  </si>
  <si>
    <t>Green berry nitrogen content (sum of N-NH4 and N-amino ac.(HPLC mg/l)</t>
  </si>
  <si>
    <t>Green berry nitrogen content (sum of N-NH4 and N-amino ac. (HPLC mg/l)
Creator : Eric Duchene
Institution : INRAE</t>
  </si>
  <si>
    <t>https://cropontology.org/term/CO_356:2000286</t>
  </si>
  <si>
    <t>Green berry nitrogen content (sum of N-NH4 and N-amino ac.)</t>
  </si>
  <si>
    <t>vitioeno:id/variable/characteristic.nitrogen_content_n-nh4_and_n-amino_acids</t>
  </si>
  <si>
    <t>Nitrogen content (N-NH4 and N-amino acids)</t>
  </si>
  <si>
    <t>2024-01-03T15:32:38.865641+01:00</t>
  </si>
  <si>
    <t>https://cropontology.org/term/CO_356:1000327</t>
  </si>
  <si>
    <t>GBER_NNH4</t>
  </si>
  <si>
    <t>Nitrogen concentration in green berries (Ammoniacal, mg/l)</t>
  </si>
  <si>
    <t>Nitrogen concentration in green berries (Ammoniacal, mg/l)
Creator : Eric Duchene
Institution : INRAE</t>
  </si>
  <si>
    <t>https://cropontology.org/term/CO_356:2000255</t>
  </si>
  <si>
    <t>Nitrogen concentration (ammoniacal) in green berries</t>
  </si>
  <si>
    <t>vitioeno:id/variable/characteristic.nitrogen_concentrationammoniacal</t>
  </si>
  <si>
    <t>Nitrogen concentration(ammoniacal)</t>
  </si>
  <si>
    <t>2024-01-03T15:31:02.007821+01:00</t>
  </si>
  <si>
    <t>https://cropontology.org/term/CO_356:1000329</t>
  </si>
  <si>
    <t>GBER_pH</t>
  </si>
  <si>
    <t>pH of green berries</t>
  </si>
  <si>
    <t>pH of green berries
Creator : Eric Duchene
Institution : INRAE</t>
  </si>
  <si>
    <t>https://cropontology.org/term/CO_356:2000257</t>
  </si>
  <si>
    <t>vitioeno:id/variable/characteristic.ph</t>
  </si>
  <si>
    <t>2024-01-03T15:31:02.370325+01:00</t>
  </si>
  <si>
    <t>https://cropontology.org/term/CO_356:1000326</t>
  </si>
  <si>
    <t>GBERT_TART_COL_g</t>
  </si>
  <si>
    <t>Tartaric acid concentration in green berries (Metav., g/l)</t>
  </si>
  <si>
    <t>Tartaric acid concentration in green berries (Metav., g/l)
Creator : Eric Duchene
Institution : INRAE</t>
  </si>
  <si>
    <t>https://cropontology.org/term/CO_356:2000254</t>
  </si>
  <si>
    <t>Tartaric acid concentration in geen berries</t>
  </si>
  <si>
    <t>vitioeno:id/variable/characteristic.tartaric_acid_concentration</t>
  </si>
  <si>
    <t>tartaric acid concentration</t>
  </si>
  <si>
    <t>2024-01-03T15:31:02.701499+01:00</t>
  </si>
  <si>
    <t>https://cropontology.org/term/CO_356:1000086</t>
  </si>
  <si>
    <t>GLUFRU</t>
  </si>
  <si>
    <t>Glucose and fructose concentration</t>
  </si>
  <si>
    <t>Glucose and fructose concentration
Creator : Eric Duchene
Institution : INRAE</t>
  </si>
  <si>
    <t>https://cropontology.org/term/CO_356:2000057</t>
  </si>
  <si>
    <t>Glucose and fructose</t>
  </si>
  <si>
    <t>https://cropontology.org/term/CO_356:3000171</t>
  </si>
  <si>
    <t>GluFru_Enzymatic</t>
  </si>
  <si>
    <t>2024-01-03T15:31:03.133101+01:00</t>
  </si>
  <si>
    <t>https://cropontology.org/term/CO_356:1000328</t>
  </si>
  <si>
    <t>GNER_N_AMAC</t>
  </si>
  <si>
    <t>Nitrogen concentration in green berries (Amino ac., mg/l)</t>
  </si>
  <si>
    <t>Nitrogen concentration in green berries (Amino ac., mg/l)
Creator : Eric Duchene
Institution : INRAE</t>
  </si>
  <si>
    <t>https://cropontology.org/term/CO_356:2000256</t>
  </si>
  <si>
    <t>Nitrogen concentration (amino acids) in green berries</t>
  </si>
  <si>
    <t>vitioeno:id/variable/characteristic.nitrogen_concentration_amino_acids</t>
  </si>
  <si>
    <t>Nitrogen concentration (amino acids)</t>
  </si>
  <si>
    <t>2024-01-03T15:31:03.467593+01:00</t>
  </si>
  <si>
    <t>https://cropontology.org/term/CO_356:1000288</t>
  </si>
  <si>
    <t>HARVEST_DATE</t>
  </si>
  <si>
    <t>Harvest date (calendar date)</t>
  </si>
  <si>
    <t>Harvest date (calendar date)
Creator : Eric Duchene
Institution : INRAE</t>
  </si>
  <si>
    <t>https://cropontology.org/term/CO_356:2000234</t>
  </si>
  <si>
    <t>Harvest date</t>
  </si>
  <si>
    <t>vitioeno:set/variables#characteristic.harvest</t>
  </si>
  <si>
    <t>Harvest</t>
  </si>
  <si>
    <t>https://cropontology.org/term/CO_356:3000258</t>
  </si>
  <si>
    <t>Direct record</t>
  </si>
  <si>
    <t>2024-01-03T15:31:03.770686+01:00</t>
  </si>
  <si>
    <t>https://cropontology.org/term/CO_356:1000289</t>
  </si>
  <si>
    <t>HARVEST_DOY</t>
  </si>
  <si>
    <t>Harvest date (Day of year)</t>
  </si>
  <si>
    <t>Harvest date (Day of year)
Creator : Eric Duchene
Institution : INRAE</t>
  </si>
  <si>
    <t>2024-01-03T15:31:04.145999+01:00</t>
  </si>
  <si>
    <t>https://cropontology.org/term/CO_356:1000088</t>
  </si>
  <si>
    <t>HS_Tmax_B02_15FB</t>
  </si>
  <si>
    <t>Heat sums with Tmax, base 20?C since 15 February</t>
  </si>
  <si>
    <t>Heat sums with Tmax, base 20?C since 15 February
Creator : Eric Duchene
Institution : INRAE</t>
  </si>
  <si>
    <t>https://cropontology.org/term/CO_356:4000038</t>
  </si>
  <si>
    <t>Degree.days</t>
  </si>
  <si>
    <t>https://cropontology.org/term/CO_356:3000172</t>
  </si>
  <si>
    <t>Tmax_Heatsummations</t>
  </si>
  <si>
    <t>2024-01-03T15:31:04.439073+01:00</t>
  </si>
  <si>
    <t>https://cropontology.org/term/CO_356:1000089</t>
  </si>
  <si>
    <t>HS_Tmax_B06_FloVer</t>
  </si>
  <si>
    <t>Heat sums with Tmax, base 6?C between flowering and v?raison</t>
  </si>
  <si>
    <t>Heat sums with Tmax, base 6?C between flowering and v?raison
Creator : Eric Duchene
Institution : INRAE</t>
  </si>
  <si>
    <t>2024-01-03T15:31:04.741365+01:00</t>
  </si>
  <si>
    <t>https://cropontology.org/term/CO_356:1000090</t>
  </si>
  <si>
    <t>HS_Tmax_B10_BudFlo</t>
  </si>
  <si>
    <t>Heat sums with Tmax, base 10?C between budbreak and flowering</t>
  </si>
  <si>
    <t>Heat sums with Tmax, base 10?C between budbreak and flowering
Creator : Eric Duchene
Institution : INRAE</t>
  </si>
  <si>
    <t>2024-01-03T15:31:05.074024+01:00</t>
  </si>
  <si>
    <t>https://cropontology.org/term/CO_356:1000093</t>
  </si>
  <si>
    <t>INT_L</t>
  </si>
  <si>
    <t>Internode length</t>
  </si>
  <si>
    <t>Internode length
Creator : Eric Duchene
Institution : INRAE</t>
  </si>
  <si>
    <t>https://cropontology.org/term/CO_356:2000062</t>
  </si>
  <si>
    <t>vitioeno:set/variables#characteristic.internode-length</t>
  </si>
  <si>
    <t>Length</t>
  </si>
  <si>
    <t>UO:0000015</t>
  </si>
  <si>
    <t>cm</t>
  </si>
  <si>
    <t>gao:20020</t>
  </si>
  <si>
    <t>entrenœud | internode</t>
  </si>
  <si>
    <t>https://cropontology.org/term/CO_356:3000175</t>
  </si>
  <si>
    <t>Ruler_measurement</t>
  </si>
  <si>
    <t>2024-01-03T15:31:05.392297+01:00</t>
  </si>
  <si>
    <t>https://cropontology.org/term/CO_356:1000069</t>
  </si>
  <si>
    <t>INTDIAM_OIV_354</t>
  </si>
  <si>
    <t>Diameter of internodes, OIV:354</t>
  </si>
  <si>
    <t>Diameter of internodes, OIV:354
Creator : Eric Duchene
Institution : INRAE</t>
  </si>
  <si>
    <t>https://cropontology.org/term/CO_356:2000046</t>
  </si>
  <si>
    <t>Diameter of internodes</t>
  </si>
  <si>
    <t>vitioeno:set/variables#characteristic.diameter</t>
  </si>
  <si>
    <t>Diameter</t>
  </si>
  <si>
    <t>https://cropontology.org/term/CO_356:3000102</t>
  </si>
  <si>
    <t>OIV:354</t>
  </si>
  <si>
    <t>2024-01-03T15:31:05.710434+01:00</t>
  </si>
  <si>
    <t>https://cropontology.org/term/CO_356:1000094</t>
  </si>
  <si>
    <t>LEAF_A_M2</t>
  </si>
  <si>
    <t>Leaf area per m2 of soil</t>
  </si>
  <si>
    <t>Leaf area per m2 of soil
Creator : Eric Duchene
Institution : INRAE</t>
  </si>
  <si>
    <t>https://cropontology.org/term/CO_356:2000063</t>
  </si>
  <si>
    <t>Leaf area</t>
  </si>
  <si>
    <t>https://cropontology.org/term/CO_356:3000176</t>
  </si>
  <si>
    <t>LeafArea_SLA</t>
  </si>
  <si>
    <t>2024-01-03T15:31:06.013265+01:00</t>
  </si>
  <si>
    <t>https://cropontology.org/term/CO_356:1000269</t>
  </si>
  <si>
    <t>LEAF_A_PLANT</t>
  </si>
  <si>
    <t>Leaf area per plant</t>
  </si>
  <si>
    <t>Leaf area per plant
Creator : Eric Duchene
Institution : INRAE</t>
  </si>
  <si>
    <t>https://cropontology.org/term/CO_356:4000035</t>
  </si>
  <si>
    <t>per plant</t>
  </si>
  <si>
    <t>2024-01-03T15:31:06.324488+01:00</t>
  </si>
  <si>
    <t>https://cropontology.org/term/CO_356:1000315</t>
  </si>
  <si>
    <t>LEAF_ANTHRAC</t>
  </si>
  <si>
    <t>Anthracnose on leaves (VATE/SI protocol, 1-3 scale)</t>
  </si>
  <si>
    <t>Anthracnose on leaves (VATE/SI protocol, 1-3 scale)
Creator : Eric Duchene
Institution : INRAE</t>
  </si>
  <si>
    <t>https://cropontology.org/term/CO_356:2000243</t>
  </si>
  <si>
    <t>Leaf: anthracnose</t>
  </si>
  <si>
    <t>vitioeno:id/variable/characteristic.anthracnose</t>
  </si>
  <si>
    <t>anthracnose</t>
  </si>
  <si>
    <t>https://cropontology.org/term/CO_356:4000023</t>
  </si>
  <si>
    <t>S1_3</t>
  </si>
  <si>
    <t>https://cropontology.org/term/CO_356:3000269</t>
  </si>
  <si>
    <t>Visual rating - VATE/SI protocol</t>
  </si>
  <si>
    <t>2024-01-03T15:31:06.677366+01:00</t>
  </si>
  <si>
    <t>https://cropontology.org/term/CO_356:1000313</t>
  </si>
  <si>
    <t>LEAF_BLACKROT_1_9</t>
  </si>
  <si>
    <t>Intensity of Black rot on leaves (1 to 9 scale)</t>
  </si>
  <si>
    <t>Intensity of Black rot on leaves (1 to 9 scale)
Creator : Eric Duchene
Institution : INRAE</t>
  </si>
  <si>
    <t>https://cropontology.org/term/CO_356:2000241</t>
  </si>
  <si>
    <t>Leaf: black rot</t>
  </si>
  <si>
    <t>vitioeno:id/variable/characteristic.black_rot</t>
  </si>
  <si>
    <t>black rot</t>
  </si>
  <si>
    <t>2024-01-03T15:31:07.057239+01:00</t>
  </si>
  <si>
    <t>https://cropontology.org/term/CO_356:1000316</t>
  </si>
  <si>
    <t>LEAF_ERINOSE</t>
  </si>
  <si>
    <t>Erinose on leaves (VATE/SI protocol, 1-3 scale)</t>
  </si>
  <si>
    <t>Erinose on leaves (VATE/SI protocol, 1-3 scale)
Creator : Eric Duchene
Institution : INRAE</t>
  </si>
  <si>
    <t>https://cropontology.org/term/CO_356:2000244</t>
  </si>
  <si>
    <t>Leaf: erinose</t>
  </si>
  <si>
    <t>vitioeno:id/variable/characteristic.erinose</t>
  </si>
  <si>
    <t>erinose</t>
  </si>
  <si>
    <t>2024-01-03T15:31:07.381229+01:00</t>
  </si>
  <si>
    <t>https://cropontology.org/term/CO_356:1000163</t>
  </si>
  <si>
    <t>LEAV_NB_SHOOT</t>
  </si>
  <si>
    <t>Number of leaves per shoot</t>
  </si>
  <si>
    <t>Number of leaves per shoot
Creator : Eric Duchene
Institution : INRAE</t>
  </si>
  <si>
    <t>https://cropontology.org/term/CO_356:2000101</t>
  </si>
  <si>
    <t>Number of leaves</t>
  </si>
  <si>
    <t>https://cropontology.org/term/CO_356:4000039</t>
  </si>
  <si>
    <t>Count</t>
  </si>
  <si>
    <t>gao:20030</t>
  </si>
  <si>
    <t>rameau | shoot</t>
  </si>
  <si>
    <t>https://cropontology.org/term/CO_356:3000178</t>
  </si>
  <si>
    <t>Leaf Number per shoot counting</t>
  </si>
  <si>
    <t>2024-01-03T15:31:07.701194+01:00</t>
  </si>
  <si>
    <t>https://cropontology.org/term/CO_356:1000540</t>
  </si>
  <si>
    <t>LiDAR_ACV_L</t>
  </si>
  <si>
    <t xml:space="preserve">LiDAR apparent canopy volume (L) </t>
  </si>
  <si>
    <t>LiDAR apparent canopy volume (L) 
Creator : Eric Duchene
Institution : INRAE</t>
  </si>
  <si>
    <t>https://cropontology.org/term/CO_356:2000287</t>
  </si>
  <si>
    <t>Apparent canopy volume</t>
  </si>
  <si>
    <t>vitioeno:id/variable/characteristic.lidar_apparent_volume</t>
  </si>
  <si>
    <t>LiDAR apparent volume</t>
  </si>
  <si>
    <t>UO:0000099</t>
  </si>
  <si>
    <t>l</t>
  </si>
  <si>
    <t>vitioeno:id/variable/entity.canopy</t>
  </si>
  <si>
    <t>Canopy</t>
  </si>
  <si>
    <t>https://cropontology.org/term/CO_356:3000283</t>
  </si>
  <si>
    <t>Number of LiDAR impacts x voxel volume</t>
  </si>
  <si>
    <t>2024-01-03T15:32:39.217826+01:00</t>
  </si>
  <si>
    <t>https://cropontology.org/term/CO_356:1000541</t>
  </si>
  <si>
    <t>LiDAR_AWV_L</t>
  </si>
  <si>
    <t xml:space="preserve">LiDAR apparent wood volume (L) </t>
  </si>
  <si>
    <t>LiDAR apparent wood volume (L) 
Creator : Eric Duchene
Institution : INRAE</t>
  </si>
  <si>
    <t>https://cropontology.org/term/CO_356:2000288</t>
  </si>
  <si>
    <t>Apparent wood volume</t>
  </si>
  <si>
    <t>gao:40070</t>
  </si>
  <si>
    <t>wood | bois</t>
  </si>
  <si>
    <t>2024-01-03T15:32:39.552499+01:00</t>
  </si>
  <si>
    <t>https://cropontology.org/term/CO_356:1000230</t>
  </si>
  <si>
    <t>MAT_OIV_304</t>
  </si>
  <si>
    <t>Time of physiological stage of full maturity of the berry</t>
  </si>
  <si>
    <t>Time of physiological stage of full maturity of the berry
Creator : Eric Duchene
Institution : INRAE</t>
  </si>
  <si>
    <t>https://cropontology.org/term/CO_356:2000156</t>
  </si>
  <si>
    <t>vitioeno:set/variables#characteristic.maturity-time</t>
  </si>
  <si>
    <t>Time of full maturity</t>
  </si>
  <si>
    <t>https://cropontology.org/term/CO_356:3000096</t>
  </si>
  <si>
    <t>OIV:304</t>
  </si>
  <si>
    <t>2024-01-03T15:31:08.026161+01:00</t>
  </si>
  <si>
    <t>https://cropontology.org/term/CO_356:1000008</t>
  </si>
  <si>
    <t>MATUR-relativ</t>
  </si>
  <si>
    <t>Physiological maturity time relative to Chasselas</t>
  </si>
  <si>
    <t>Physiological maturity time relative to Chasselas
Creator : Eric Duchene
Institution : INRAE</t>
  </si>
  <si>
    <t>https://cropontology.org/term/CO_356:2000003</t>
  </si>
  <si>
    <t>Maturity</t>
  </si>
  <si>
    <t>vitioeno:set/variables#characteristic.maturity</t>
  </si>
  <si>
    <t>Time of maturity</t>
  </si>
  <si>
    <t>https://cropontology.org/term/CO_356:4000005</t>
  </si>
  <si>
    <t>week/Chasselas</t>
  </si>
  <si>
    <t>https://cropontology.org/term/CO_356:3000001</t>
  </si>
  <si>
    <t>Relative to chasselas</t>
  </si>
  <si>
    <t>2024-01-03T15:31:08.35755+01:00</t>
  </si>
  <si>
    <t>https://cropontology.org/term/CO_356:1000002</t>
  </si>
  <si>
    <t>MI-BUD-relativ</t>
  </si>
  <si>
    <t>Budbreak date (50%) relative to Chasselas</t>
  </si>
  <si>
    <t>Budbreak date (50%) relative to Chasselas
Creator : Eric Duchene
Institution : INRAE</t>
  </si>
  <si>
    <t>https://cropontology.org/term/CO_356:4000004</t>
  </si>
  <si>
    <t>day/Chasselas</t>
  </si>
  <si>
    <t>2024-01-03T15:31:08.671144+01:00</t>
  </si>
  <si>
    <t>https://cropontology.org/term/CO_356:1000004</t>
  </si>
  <si>
    <t>MI-FLO-relativ</t>
  </si>
  <si>
    <t>Flowering date (50%) relative to Chasselas</t>
  </si>
  <si>
    <t>Flowering date (50%) relative to Chasselas
Creator : Eric Duchene
Institution : INRAE</t>
  </si>
  <si>
    <t>2024-01-03T15:31:09.021825+01:00</t>
  </si>
  <si>
    <t>https://cropontology.org/term/CO_356:1000006</t>
  </si>
  <si>
    <t>MI-VER-relativ</t>
  </si>
  <si>
    <t>Veraison time (50%) relative to Chasselas</t>
  </si>
  <si>
    <t>Veraison time (50%) relative to Chasselas
Creator : Eric Duchene
Institution : INRAE</t>
  </si>
  <si>
    <t>2024-01-03T15:31:09.358077+01:00</t>
  </si>
  <si>
    <t>https://cropontology.org/term/CO_356:1000254</t>
  </si>
  <si>
    <t>MORPHO_OIV_001</t>
  </si>
  <si>
    <t>Young Shoot: aperture of tip</t>
  </si>
  <si>
    <t>Young Shoot: aperture of tip
Creator : Eric Duchene
Institution : INRAE</t>
  </si>
  <si>
    <t>https://cropontology.org/term/CO_356:2000170</t>
  </si>
  <si>
    <t>vitioeno:set/variables#characteristic.shape</t>
  </si>
  <si>
    <t>aperture of tip</t>
  </si>
  <si>
    <t>https://cropontology.org/term/CO_356:4000027</t>
  </si>
  <si>
    <t>S1_5_by2</t>
  </si>
  <si>
    <t>vitioeno:id/variable/entity.young_shoot</t>
  </si>
  <si>
    <t>Young Shoot</t>
  </si>
  <si>
    <t>https://cropontology.org/term/CO_356:3000003</t>
  </si>
  <si>
    <t>OIV:001</t>
  </si>
  <si>
    <t>2024-01-03T15:31:09.670248+01:00</t>
  </si>
  <si>
    <t>https://cropontology.org/term/CO_356:1000255</t>
  </si>
  <si>
    <t>MORPHO_OIV_002</t>
  </si>
  <si>
    <t>Young Shoot: distribution of anthocyanin coloration on prostrate hairs of tip</t>
  </si>
  <si>
    <t>Young Shoot: distribution of anthocyanin coloration on prostrate hairs of tip
Creator : Eric Duchene
Institution : INRAE</t>
  </si>
  <si>
    <t>https://cropontology.org/term/CO_356:2000171</t>
  </si>
  <si>
    <t>vitioeno:set/variables#characteristic.color</t>
  </si>
  <si>
    <t>distribution of anthocyanin coloration on prostrate hairs of tip</t>
  </si>
  <si>
    <t>https://cropontology.org/term/CO_356:3000006</t>
  </si>
  <si>
    <t>OIV:002</t>
  </si>
  <si>
    <t>2024-01-03T15:31:10.004601+01:00</t>
  </si>
  <si>
    <t>https://cropontology.org/term/CO_356:1000258</t>
  </si>
  <si>
    <t>MORPHO_OIV_003</t>
  </si>
  <si>
    <t>Young Shoot: intensity of anthocyanin coloration on prostrate hairs of tip</t>
  </si>
  <si>
    <t>Young Shoot: intensity of anthocyanin coloration on prostrate hairs of tip
Creator : Eric Duchene
Institution : INRAE</t>
  </si>
  <si>
    <t>https://cropontology.org/term/CO_356:2000174</t>
  </si>
  <si>
    <t>https://cropontology.org/term/CO_356:3000007</t>
  </si>
  <si>
    <t>OIV:003</t>
  </si>
  <si>
    <t>2024-01-03T15:31:10.340753+01:00</t>
  </si>
  <si>
    <t>https://cropontology.org/term/CO_356:1000257</t>
  </si>
  <si>
    <t>MORPHO_OIV_004</t>
  </si>
  <si>
    <t>Young Shoot: density of prostrate hairs on tip</t>
  </si>
  <si>
    <t>Young Shoot: density of prostrate hairs on tip
Creator : Eric Duchene
Institution : INRAE</t>
  </si>
  <si>
    <t>https://cropontology.org/term/CO_356:2000173</t>
  </si>
  <si>
    <t>https://cropontology.org/term/CO_356:3000008</t>
  </si>
  <si>
    <t>OIV:004</t>
  </si>
  <si>
    <t>2024-01-03T15:31:10.671101+01:00</t>
  </si>
  <si>
    <t>https://cropontology.org/term/CO_356:1000256</t>
  </si>
  <si>
    <t>MORPHO_OIV_005</t>
  </si>
  <si>
    <t>Young Shoot: density of erect hairs on tip</t>
  </si>
  <si>
    <t>Young Shoot: density of erect hairs on tip
Creator : Eric Duchene
Institution : INRAE</t>
  </si>
  <si>
    <t>https://cropontology.org/term/CO_356:2000172</t>
  </si>
  <si>
    <t>https://cropontology.org/term/CO_356:3000009</t>
  </si>
  <si>
    <t>OIV:005</t>
  </si>
  <si>
    <t>2024-01-03T15:31:10.992339+01:00</t>
  </si>
  <si>
    <t>https://cropontology.org/term/CO_356:1000198</t>
  </si>
  <si>
    <t>MORPHO_OIV_006</t>
  </si>
  <si>
    <t>Shoot: attitude (before tying)</t>
  </si>
  <si>
    <t>Shoot: attitude (before tying)
Creator : Eric Duchene
Institution : INRAE</t>
  </si>
  <si>
    <t>https://cropontology.org/term/CO_356:2000131</t>
  </si>
  <si>
    <t>https://cropontology.org/term/CO_356:3000010</t>
  </si>
  <si>
    <t>OIV:006</t>
  </si>
  <si>
    <t>2024-01-03T15:31:11.327795+01:00</t>
  </si>
  <si>
    <t>https://cropontology.org/term/CO_356:1000200</t>
  </si>
  <si>
    <t>MORPHO_OIV_007</t>
  </si>
  <si>
    <t>Shoot: color of dorsal side of internodes</t>
  </si>
  <si>
    <t>Shoot: color of dorsal side of internodes
Creator : Eric Duchene
Institution : INRAE</t>
  </si>
  <si>
    <t>https://cropontology.org/term/CO_356:2000133</t>
  </si>
  <si>
    <t>https://cropontology.org/term/CO_356:3000011</t>
  </si>
  <si>
    <t>OIV:007</t>
  </si>
  <si>
    <t>2024-01-03T15:31:11.680456+01:00</t>
  </si>
  <si>
    <t>https://cropontology.org/term/CO_356:1000202</t>
  </si>
  <si>
    <t>MORPHO_OIV_008</t>
  </si>
  <si>
    <t>Shoot: color of ventral side of internodes</t>
  </si>
  <si>
    <t>Shoot: color of ventral side of internodes
Creator : Eric Duchene
Institution : INRAE</t>
  </si>
  <si>
    <t>https://cropontology.org/term/CO_356:2000213</t>
  </si>
  <si>
    <t>https://cropontology.org/term/CO_356:3000012</t>
  </si>
  <si>
    <t>OIV:008</t>
  </si>
  <si>
    <t>2024-01-03T15:31:12.008285+01:00</t>
  </si>
  <si>
    <t>https://cropontology.org/term/CO_356:1000201</t>
  </si>
  <si>
    <t>MORPHO_OIV_009</t>
  </si>
  <si>
    <t>Shoot: color of dorsal side of nodes</t>
  </si>
  <si>
    <t>Shoot: color of dorsal side of nodes
Creator : Eric Duchene
Institution : INRAE</t>
  </si>
  <si>
    <t>https://cropontology.org/term/CO_356:2000134</t>
  </si>
  <si>
    <t>https://cropontology.org/term/CO_356:3000017</t>
  </si>
  <si>
    <t>OIV:009</t>
  </si>
  <si>
    <t>2024-01-03T15:31:12.491417+01:00</t>
  </si>
  <si>
    <t>https://cropontology.org/term/CO_356:1000203</t>
  </si>
  <si>
    <t>MORPHO_OIV_010</t>
  </si>
  <si>
    <t>Shoot: color of ventral side of nodes</t>
  </si>
  <si>
    <t>Shoot: color of ventral side of nodes
Creator : Eric Duchene
Institution : INRAE</t>
  </si>
  <si>
    <t>https://cropontology.org/term/CO_356:2000214</t>
  </si>
  <si>
    <t>https://cropontology.org/term/CO_356:3000018</t>
  </si>
  <si>
    <t>OIV:010</t>
  </si>
  <si>
    <t>2024-01-03T15:31:12.794497+01:00</t>
  </si>
  <si>
    <t>https://cropontology.org/term/CO_356:1000206</t>
  </si>
  <si>
    <t>MORPHO_OIV_011</t>
  </si>
  <si>
    <t>Shoot: density of erect hairs on nodes</t>
  </si>
  <si>
    <t>Shoot: density of erect hairs on nodes
Creator : Eric Duchene
Institution : INRAE</t>
  </si>
  <si>
    <t>https://cropontology.org/term/CO_356:2000215</t>
  </si>
  <si>
    <t>https://cropontology.org/term/CO_356:3000019</t>
  </si>
  <si>
    <t>OIV:011</t>
  </si>
  <si>
    <t>2024-01-03T15:31:13.090995+01:00</t>
  </si>
  <si>
    <t>https://cropontology.org/term/CO_356:1000205</t>
  </si>
  <si>
    <t>MORPHO_OIV_012</t>
  </si>
  <si>
    <t>Shoot: density of erect hairs on internodes</t>
  </si>
  <si>
    <t>Shoot: density of erect hairs on internodes
Creator : Eric Duchene
Institution : INRAE</t>
  </si>
  <si>
    <t>https://cropontology.org/term/CO_356:2000136</t>
  </si>
  <si>
    <t>https://cropontology.org/term/CO_356:3000020</t>
  </si>
  <si>
    <t>OIV:012</t>
  </si>
  <si>
    <t>2024-01-03T15:31:13.402228+01:00</t>
  </si>
  <si>
    <t>https://cropontology.org/term/CO_356:1000208</t>
  </si>
  <si>
    <t>MORPHO_OIV_013</t>
  </si>
  <si>
    <t>Shoot: density of prostrate hairs on nodes</t>
  </si>
  <si>
    <t>Shoot: density of prostrate hairs on nodes
Creator : Eric Duchene
Institution : INRAE</t>
  </si>
  <si>
    <t>https://cropontology.org/term/CO_356:2000216</t>
  </si>
  <si>
    <t>https://cropontology.org/term/CO_356:3000021</t>
  </si>
  <si>
    <t>OIV:013</t>
  </si>
  <si>
    <t>2024-01-03T15:31:13.928072+01:00</t>
  </si>
  <si>
    <t>https://cropontology.org/term/CO_356:1000207</t>
  </si>
  <si>
    <t>MORPHO_OIV_014</t>
  </si>
  <si>
    <t>Shoot: density of prostrate hairs on internodes</t>
  </si>
  <si>
    <t>Shoot: density of prostrate hairs on internodes
Creator : Eric Duchene
Institution : INRAE</t>
  </si>
  <si>
    <t>https://cropontology.org/term/CO_356:2000137</t>
  </si>
  <si>
    <t>https://cropontology.org/term/CO_356:3000022</t>
  </si>
  <si>
    <t>OIV:014</t>
  </si>
  <si>
    <t>2024-01-03T15:31:14.239696+01:00</t>
  </si>
  <si>
    <t>https://cropontology.org/term/CO_356:1000199</t>
  </si>
  <si>
    <t>MORPHO_OIV_015-1</t>
  </si>
  <si>
    <t>Shoot: area of the anthocyanin coloration on bud scales</t>
  </si>
  <si>
    <t>Shoot: area of the anthocyanin coloration on bud scales
Creator : Eric Duchene
Institution : INRAE</t>
  </si>
  <si>
    <t>https://cropontology.org/term/CO_356:2000132</t>
  </si>
  <si>
    <t>https://cropontology.org/term/CO_356:3000004</t>
  </si>
  <si>
    <t>OIV:015-1</t>
  </si>
  <si>
    <t>2024-01-03T15:31:14.56622+01:00</t>
  </si>
  <si>
    <t>https://cropontology.org/term/CO_356:1000210</t>
  </si>
  <si>
    <t>MORPHO_OIV_015-2</t>
  </si>
  <si>
    <t>Shoot: intensity of anthocyanin coloration on bud scales</t>
  </si>
  <si>
    <t>Shoot: intensity of anthocyanin coloration on bud scales
Creator : Eric Duchene
Institution : INRAE</t>
  </si>
  <si>
    <t>https://cropontology.org/term/CO_356:2000139</t>
  </si>
  <si>
    <t>https://cropontology.org/term/CO_356:3000005</t>
  </si>
  <si>
    <t>OIV:015-2</t>
  </si>
  <si>
    <t>2024-01-03T15:31:14.872025+01:00</t>
  </si>
  <si>
    <t>https://cropontology.org/term/CO_356:1000213</t>
  </si>
  <si>
    <t>MORPHO_OIV_016</t>
  </si>
  <si>
    <t>Shoot: number of consecutive tendrils</t>
  </si>
  <si>
    <t>Shoot: number of consecutive tendrils
Creator : Eric Duchene
Institution : INRAE</t>
  </si>
  <si>
    <t>https://cropontology.org/term/CO_356:2000142</t>
  </si>
  <si>
    <t>https://cropontology.org/term/CO_356:4000022</t>
  </si>
  <si>
    <t>S1_2:OIV222</t>
  </si>
  <si>
    <t>https://cropontology.org/term/CO_356:3000023</t>
  </si>
  <si>
    <t>OIV:016</t>
  </si>
  <si>
    <t>2024-01-03T15:31:15.230141+01:00</t>
  </si>
  <si>
    <t>https://cropontology.org/term/CO_356:1000212</t>
  </si>
  <si>
    <t>MORPHO_OIV_017</t>
  </si>
  <si>
    <t>Shoot: length of tendrils</t>
  </si>
  <si>
    <t>Shoot: length of tendrils
Creator : Eric Duchene
Institution : INRAE</t>
  </si>
  <si>
    <t>https://cropontology.org/term/CO_356:2000141</t>
  </si>
  <si>
    <t>https://cropontology.org/term/CO_356:3000024</t>
  </si>
  <si>
    <t>OIV:017</t>
  </si>
  <si>
    <t>2024-01-03T15:31:15.577201+01:00</t>
  </si>
  <si>
    <t>https://cropontology.org/term/CO_356:1000249</t>
  </si>
  <si>
    <t>MORPHO_OIV_051</t>
  </si>
  <si>
    <t>Young leaf: color of the upper side of blade (4th leaf)</t>
  </si>
  <si>
    <t>Young leaf: color of the upper side of blade (4th leaf)
Creator : Eric Duchene
Institution : INRAE</t>
  </si>
  <si>
    <t>https://cropontology.org/term/CO_356:2000169</t>
  </si>
  <si>
    <t>vitioeno:id/variable/entity.young_leaf</t>
  </si>
  <si>
    <t>Young leaf</t>
  </si>
  <si>
    <t>https://cropontology.org/term/CO_356:3000025</t>
  </si>
  <si>
    <t>OIV:051</t>
  </si>
  <si>
    <t>2024-01-03T15:31:15.89927+01:00</t>
  </si>
  <si>
    <t>https://cropontology.org/term/CO_356:1000252</t>
  </si>
  <si>
    <t>MORPHO_OIV_053</t>
  </si>
  <si>
    <t>Young leaf: density of prostrate hairs between main veins on lower side of blade (4th leaf)</t>
  </si>
  <si>
    <t>Young leaf: density of prostrate hairs between main veins on lower side of blade (4th leaf)
Creator : Eric Duchene
Institution : INRAE</t>
  </si>
  <si>
    <t>https://cropontology.org/term/CO_356:2000191</t>
  </si>
  <si>
    <t>https://cropontology.org/term/CO_356:3000026</t>
  </si>
  <si>
    <t>OIV:053</t>
  </si>
  <si>
    <t>2024-01-03T15:31:16.231412+01:00</t>
  </si>
  <si>
    <t>https://cropontology.org/term/CO_356:1000250</t>
  </si>
  <si>
    <t>MORPHO_OIV_054</t>
  </si>
  <si>
    <t>Young leaf: density of erect hairs between main veins on lower side of blade (4th leaf)</t>
  </si>
  <si>
    <t>Young leaf: density of erect hairs between main veins on lower side of blade (4th leaf)
Creator : Eric Duchene
Institution : INRAE</t>
  </si>
  <si>
    <t>https://cropontology.org/term/CO_356:2000189</t>
  </si>
  <si>
    <t>https://cropontology.org/term/CO_356:3000027</t>
  </si>
  <si>
    <t>OIV:054</t>
  </si>
  <si>
    <t>2024-01-03T15:31:16.551147+01:00</t>
  </si>
  <si>
    <t>https://cropontology.org/term/CO_356:1000253</t>
  </si>
  <si>
    <t>MORPHO_OIV_055</t>
  </si>
  <si>
    <t>Young leaf: density of prostrate hairs on main veins on lower side of blade (4th leaf)</t>
  </si>
  <si>
    <t>Young leaf: density of prostrate hairs on main veins on lower side of blade (4th leaf)
Creator : Eric Duchene
Institution : INRAE</t>
  </si>
  <si>
    <t>https://cropontology.org/term/CO_356:2000192</t>
  </si>
  <si>
    <t>https://cropontology.org/term/CO_356:3000028</t>
  </si>
  <si>
    <t>OIV:055</t>
  </si>
  <si>
    <t>2024-01-03T15:31:16.88338+01:00</t>
  </si>
  <si>
    <t>https://cropontology.org/term/CO_356:1000251</t>
  </si>
  <si>
    <t>MORPHO_OIV_056</t>
  </si>
  <si>
    <t>Young leaf: density of erect hairs on main veins on lower side of blade</t>
  </si>
  <si>
    <t>Young leaf: density of erect hairs on main veins on lower side of blade
Creator : Eric Duchene
Institution : INRAE</t>
  </si>
  <si>
    <t>https://cropontology.org/term/CO_356:2000190</t>
  </si>
  <si>
    <t>https://cropontology.org/term/CO_356:3000029</t>
  </si>
  <si>
    <t>OIV:056</t>
  </si>
  <si>
    <t>2024-01-03T15:31:17.192674+01:00</t>
  </si>
  <si>
    <t>https://cropontology.org/term/CO_356:1000142</t>
  </si>
  <si>
    <t>MORPHO_OIV_065</t>
  </si>
  <si>
    <t>Mature leaf: size of blade</t>
  </si>
  <si>
    <t>Mature leaf: size of blade
Creator : Eric Duchene
Institution : INRAE</t>
  </si>
  <si>
    <t>https://cropontology.org/term/CO_356:2000206</t>
  </si>
  <si>
    <t>vitioeno:id/variable/entity.mature_leaf</t>
  </si>
  <si>
    <t>Mature leaf</t>
  </si>
  <si>
    <t>https://cropontology.org/term/CO_356:3000030</t>
  </si>
  <si>
    <t>OIV:065</t>
  </si>
  <si>
    <t>2024-01-03T15:31:17.527185+01:00</t>
  </si>
  <si>
    <t>https://cropontology.org/term/CO_356:1000143</t>
  </si>
  <si>
    <t>MORPHO_OIV_067</t>
  </si>
  <si>
    <t>Mature leaf: shape of blade</t>
  </si>
  <si>
    <t>Mature leaf: shape of blade
Creator : Eric Duchene
Institution : INRAE</t>
  </si>
  <si>
    <t>https://cropontology.org/term/CO_356:2000205</t>
  </si>
  <si>
    <t>https://cropontology.org/term/CO_356:3000031</t>
  </si>
  <si>
    <t>OIV:067</t>
  </si>
  <si>
    <t>2024-01-03T15:31:17.85978+01:00</t>
  </si>
  <si>
    <t>https://cropontology.org/term/CO_356:1000136</t>
  </si>
  <si>
    <t>MORPHO_OIV_068</t>
  </si>
  <si>
    <t>Mature leaf: number of lobes</t>
  </si>
  <si>
    <t>Mature leaf: number of lobes
Creator : Eric Duchene
Institution : INRAE</t>
  </si>
  <si>
    <t>https://cropontology.org/term/CO_356:2000085</t>
  </si>
  <si>
    <t>https://cropontology.org/term/CO_356:3000032</t>
  </si>
  <si>
    <t>OIV:068</t>
  </si>
  <si>
    <t>2024-01-03T15:31:18.212965+01:00</t>
  </si>
  <si>
    <t>https://cropontology.org/term/CO_356:1000112</t>
  </si>
  <si>
    <t>MORPHO_OIV_069</t>
  </si>
  <si>
    <t>Mature leaf: color of the upper side of blade</t>
  </si>
  <si>
    <t>Mature leaf: color of the upper side of blade
Creator : Eric Duchene
Institution : INRAE</t>
  </si>
  <si>
    <t>https://cropontology.org/term/CO_356:2000196</t>
  </si>
  <si>
    <t>https://cropontology.org/term/CO_356:4000033</t>
  </si>
  <si>
    <t>S3_5_7</t>
  </si>
  <si>
    <t>https://cropontology.org/term/CO_356:3000033</t>
  </si>
  <si>
    <t>OIV:069</t>
  </si>
  <si>
    <t>2024-01-03T15:31:18.557559+01:00</t>
  </si>
  <si>
    <t>https://cropontology.org/term/CO_356:1000106</t>
  </si>
  <si>
    <t>MORPHO_OIV_070</t>
  </si>
  <si>
    <t>Mature leaf: area of anthocyanin coloration of main veins on upper side of blade</t>
  </si>
  <si>
    <t>Mature leaf: area of anthocyanin coloration of main veins on upper side of blade
Creator : Eric Duchene
Institution : INRAE</t>
  </si>
  <si>
    <t>https://cropontology.org/term/CO_356:2000195</t>
  </si>
  <si>
    <t>https://cropontology.org/term/CO_356:3000034</t>
  </si>
  <si>
    <t>OIV:070</t>
  </si>
  <si>
    <t>2024-01-03T15:31:18.903224+01:00</t>
  </si>
  <si>
    <t>https://cropontology.org/term/CO_356:1000105</t>
  </si>
  <si>
    <t>MORPHO_OIV_071</t>
  </si>
  <si>
    <t>Mature leaf: area of anthocyanin coloration of main veins on lower side of blade</t>
  </si>
  <si>
    <t>Mature leaf: area of anthocyanin coloration of main veins on lower side of blade
Creator : Eric Duchene
Institution : INRAE</t>
  </si>
  <si>
    <t>https://cropontology.org/term/CO_356:2000066</t>
  </si>
  <si>
    <t>https://cropontology.org/term/CO_356:3000035</t>
  </si>
  <si>
    <t>OIV:071</t>
  </si>
  <si>
    <t>2024-01-03T15:31:19.202703+01:00</t>
  </si>
  <si>
    <t>https://cropontology.org/term/CO_356:1000123</t>
  </si>
  <si>
    <t>MORPHO_OIV_072</t>
  </si>
  <si>
    <t>Mature leaf: goffering of blade</t>
  </si>
  <si>
    <t>Mature leaf: goffering of blade
Creator : Eric Duchene
Institution : INRAE</t>
  </si>
  <si>
    <t>https://cropontology.org/term/CO_356:2000201</t>
  </si>
  <si>
    <t>https://cropontology.org/term/CO_356:3000036</t>
  </si>
  <si>
    <t>OIV:072</t>
  </si>
  <si>
    <t>2024-01-03T15:31:19.540382+01:00</t>
  </si>
  <si>
    <t>https://cropontology.org/term/CO_356:1000150</t>
  </si>
  <si>
    <t>MORPHO_OIV_073</t>
  </si>
  <si>
    <t>Mature leaf: undulation of blade between main and lateral veins</t>
  </si>
  <si>
    <t>Mature leaf: undulation of blade between main and lateral veins
Creator : Eric Duchene
Institution : INRAE</t>
  </si>
  <si>
    <t>https://cropontology.org/term/CO_356:2000093</t>
  </si>
  <si>
    <t>https://cropontology.org/term/CO_356:3000037</t>
  </si>
  <si>
    <t>OIV:073</t>
  </si>
  <si>
    <t>2024-01-03T15:31:19.861545+01:00</t>
  </si>
  <si>
    <t>https://cropontology.org/term/CO_356:1000139</t>
  </si>
  <si>
    <t>MORPHO_OIV_074</t>
  </si>
  <si>
    <t>Mature leaf: profile of blade in cross section</t>
  </si>
  <si>
    <t>Mature leaf: profile of blade in cross section
Creator : Eric Duchene
Institution : INRAE</t>
  </si>
  <si>
    <t>https://cropontology.org/term/CO_356:2000087</t>
  </si>
  <si>
    <t>https://cropontology.org/term/CO_356:3000038</t>
  </si>
  <si>
    <t>OIV:074</t>
  </si>
  <si>
    <t>2024-01-03T15:31:20.394724+01:00</t>
  </si>
  <si>
    <t>https://cropontology.org/term/CO_356:1000111</t>
  </si>
  <si>
    <t>MORPHO_OIV_075</t>
  </si>
  <si>
    <t>Mature leaf: blistering of upper side of blade</t>
  </si>
  <si>
    <t>Mature leaf: blistering of upper side of blade
Creator : Eric Duchene
Institution : INRAE</t>
  </si>
  <si>
    <t>https://cropontology.org/term/CO_356:2000212</t>
  </si>
  <si>
    <t>https://cropontology.org/term/CO_356:3000039</t>
  </si>
  <si>
    <t>OIV:075</t>
  </si>
  <si>
    <t>2024-01-03T15:31:20.734691+01:00</t>
  </si>
  <si>
    <t>https://cropontology.org/term/CO_356:1000146</t>
  </si>
  <si>
    <t>MORPHO_OIV_076</t>
  </si>
  <si>
    <t>Mature leaf: shape of teeth</t>
  </si>
  <si>
    <t>Mature leaf: shape of teeth
Creator : Eric Duchene
Institution : INRAE</t>
  </si>
  <si>
    <t>https://cropontology.org/term/CO_356:2000089</t>
  </si>
  <si>
    <t>https://cropontology.org/term/CO_356:3000040</t>
  </si>
  <si>
    <t>OIV:076</t>
  </si>
  <si>
    <t>2024-01-03T15:31:21.128854+01:00</t>
  </si>
  <si>
    <t>https://cropontology.org/term/CO_356:1000147</t>
  </si>
  <si>
    <t>MORPHO_OIV_077</t>
  </si>
  <si>
    <t>Mature leaf: size of teeth in relation to blade size</t>
  </si>
  <si>
    <t>Mature leaf: size of teeth in relation to blade size
Creator : Eric Duchene
Institution : INRAE</t>
  </si>
  <si>
    <t>https://cropontology.org/term/CO_356:2000090</t>
  </si>
  <si>
    <t>https://cropontology.org/term/CO_356:3000041</t>
  </si>
  <si>
    <t>OIV:077</t>
  </si>
  <si>
    <t>2024-01-03T15:31:21.477246+01:00</t>
  </si>
  <si>
    <t>https://cropontology.org/term/CO_356:1000130</t>
  </si>
  <si>
    <t>MORPHO_OIV_078</t>
  </si>
  <si>
    <t>Mature leaf: length of teeth compared with their width</t>
  </si>
  <si>
    <t>Mature leaf: length of teeth compared with their width
Creator : Eric Duchene
Institution : INRAE</t>
  </si>
  <si>
    <t>https://cropontology.org/term/CO_356:2000079</t>
  </si>
  <si>
    <t>https://cropontology.org/term/CO_356:3000042</t>
  </si>
  <si>
    <t>OIV:078</t>
  </si>
  <si>
    <t>2024-01-03T15:31:21.784642+01:00</t>
  </si>
  <si>
    <t>https://cropontology.org/term/CO_356:1000116</t>
  </si>
  <si>
    <t>MORPHO_OIV_079</t>
  </si>
  <si>
    <t>Mature leaf: degree of opening / overlapping of petiole sinus</t>
  </si>
  <si>
    <t>Mature leaf: degree of opening / overlapping of petiole sinus
Creator : Eric Duchene
Institution : INRAE</t>
  </si>
  <si>
    <t>https://cropontology.org/term/CO_356:2000070</t>
  </si>
  <si>
    <t>https://cropontology.org/term/CO_356:3000043</t>
  </si>
  <si>
    <t>OIV:079</t>
  </si>
  <si>
    <t>2024-01-03T15:31:22.074221+01:00</t>
  </si>
  <si>
    <t>https://cropontology.org/term/CO_356:1000144</t>
  </si>
  <si>
    <t>MORPHO_OIV_080</t>
  </si>
  <si>
    <t>Mature leaf: shape of base of petiole sinus</t>
  </si>
  <si>
    <t>Mature leaf: shape of base of petiole sinus
Creator : Eric Duchene
Institution : INRAE</t>
  </si>
  <si>
    <t>https://cropontology.org/term/CO_356:2000211</t>
  </si>
  <si>
    <t>https://cropontology.org/term/CO_356:3000044</t>
  </si>
  <si>
    <t>OIV:080</t>
  </si>
  <si>
    <t>2024-01-03T15:31:22.552386+01:00</t>
  </si>
  <si>
    <t>https://cropontology.org/term/CO_356:1000148</t>
  </si>
  <si>
    <t>MORPHO_OIV_081-1</t>
  </si>
  <si>
    <t>Mature leaf: teeth in the petiole sinus</t>
  </si>
  <si>
    <t>Mature leaf: teeth in the petiole sinus
Creator : Eric Duchene
Institution : INRAE</t>
  </si>
  <si>
    <t>https://cropontology.org/term/CO_356:2000091</t>
  </si>
  <si>
    <t>https://cropontology.org/term/CO_356:3000013</t>
  </si>
  <si>
    <t>OIV:081-1</t>
  </si>
  <si>
    <t>2024-01-03T15:31:22.836247+01:00</t>
  </si>
  <si>
    <t>https://cropontology.org/term/CO_356:1000141</t>
  </si>
  <si>
    <t>MORPHO_OIV_081-2</t>
  </si>
  <si>
    <t>Mature leaf: petiole sinus base limited by veins</t>
  </si>
  <si>
    <t>Mature leaf: petiole sinus base limited by veins
Creator : Eric Duchene
Institution : INRAE</t>
  </si>
  <si>
    <t>https://cropontology.org/term/CO_356:2000088</t>
  </si>
  <si>
    <t>https://cropontology.org/term/CO_356:3000014</t>
  </si>
  <si>
    <t>OIV:081-2</t>
  </si>
  <si>
    <t>2024-01-03T15:31:23.149683+01:00</t>
  </si>
  <si>
    <t>https://cropontology.org/term/CO_356:1000117</t>
  </si>
  <si>
    <t>MORPHO_OIV_082</t>
  </si>
  <si>
    <t>Mature leaf: degree of opening / overlapping of upper lateral sinus</t>
  </si>
  <si>
    <t>Mature leaf: degree of opening / overlapping of upper lateral sinus
Creator : Eric Duchene
Institution : INRAE</t>
  </si>
  <si>
    <t>https://cropontology.org/term/CO_356:2000071</t>
  </si>
  <si>
    <t>https://cropontology.org/term/CO_356:3000045</t>
  </si>
  <si>
    <t>OIV:082</t>
  </si>
  <si>
    <t>2024-01-03T15:31:23.479662+01:00</t>
  </si>
  <si>
    <t>https://cropontology.org/term/CO_356:1000145</t>
  </si>
  <si>
    <t>MORPHO_OIV_083-1</t>
  </si>
  <si>
    <t>Mature leaf: shape of base of upper lateral sinuses</t>
  </si>
  <si>
    <t>Mature leaf: shape of base of upper lateral sinuses
Creator : Eric Duchene
Institution : INRAE</t>
  </si>
  <si>
    <t>https://cropontology.org/term/CO_356:2000204</t>
  </si>
  <si>
    <t>https://cropontology.org/term/CO_356:3000015</t>
  </si>
  <si>
    <t>OIV:083-1</t>
  </si>
  <si>
    <t>2024-01-03T15:31:23.803554+01:00</t>
  </si>
  <si>
    <t>https://cropontology.org/term/CO_356:1000149</t>
  </si>
  <si>
    <t>MORPHO_OIV_083-2</t>
  </si>
  <si>
    <t>Mature leaf: teeth in the upper lateral sinuses</t>
  </si>
  <si>
    <t>Mature leaf: teeth in the upper lateral sinuses
Creator : Eric Duchene
Institution : INRAE</t>
  </si>
  <si>
    <t>https://cropontology.org/term/CO_356:2000092</t>
  </si>
  <si>
    <t>https://cropontology.org/term/CO_356:3000016</t>
  </si>
  <si>
    <t>OIV:083-2</t>
  </si>
  <si>
    <t>2024-01-03T15:31:24.142112+01:00</t>
  </si>
  <si>
    <t>https://cropontology.org/term/CO_356:1000118</t>
  </si>
  <si>
    <t>MORPHO_OIV_084</t>
  </si>
  <si>
    <t>Mature leaf: density of prostrate hairs between the main veins on lower side of blade</t>
  </si>
  <si>
    <t>Mature leaf: density of prostrate hairs between the main veins on lower side of blade
Creator : Eric Duchene
Institution : INRAE</t>
  </si>
  <si>
    <t>https://cropontology.org/term/CO_356:2000210</t>
  </si>
  <si>
    <t>https://cropontology.org/term/CO_356:3000046</t>
  </si>
  <si>
    <t>OIV:084</t>
  </si>
  <si>
    <t>2024-01-03T15:31:24.476398+01:00</t>
  </si>
  <si>
    <t>https://cropontology.org/term/CO_356:1000113</t>
  </si>
  <si>
    <t>MORPHO_OIV_085</t>
  </si>
  <si>
    <t>Mature leaf: density of erect hairs between the main veins on lower side of blade</t>
  </si>
  <si>
    <t>Mature leaf: density of erect hairs between the main veins on lower side of blade
Creator : Eric Duchene
Institution : INRAE</t>
  </si>
  <si>
    <t>https://cropontology.org/term/CO_356:2000208</t>
  </si>
  <si>
    <t>https://cropontology.org/term/CO_356:3000047</t>
  </si>
  <si>
    <t>OIV:085</t>
  </si>
  <si>
    <t>2024-01-03T15:31:24.800028+01:00</t>
  </si>
  <si>
    <t>https://cropontology.org/term/CO_356:1000119</t>
  </si>
  <si>
    <t>MORPHO_OIV_086</t>
  </si>
  <si>
    <t>Mature leaf: density of prostrate hairs on main veins on lower side of blade</t>
  </si>
  <si>
    <t>Mature leaf: density of prostrate hairs on main veins on lower side of blade
Creator : Eric Duchene
Institution : INRAE</t>
  </si>
  <si>
    <t>https://cropontology.org/term/CO_356:2000198</t>
  </si>
  <si>
    <t>https://cropontology.org/term/CO_356:3000048</t>
  </si>
  <si>
    <t>OIV:086</t>
  </si>
  <si>
    <t>2024-01-03T15:31:25.112751+01:00</t>
  </si>
  <si>
    <t>https://cropontology.org/term/CO_356:1000114</t>
  </si>
  <si>
    <t>MORPHO_OIV_087</t>
  </si>
  <si>
    <t>Mature leaf: density of erect hairs on main veins on lower side of blade</t>
  </si>
  <si>
    <t>Mature leaf: density of erect hairs on main veins on lower side of blade
Creator : Eric Duchene
Institution : INRAE</t>
  </si>
  <si>
    <t>https://cropontology.org/term/CO_356:2000197</t>
  </si>
  <si>
    <t>https://cropontology.org/term/CO_356:3000049</t>
  </si>
  <si>
    <t>OIV:087</t>
  </si>
  <si>
    <t>2024-01-03T15:31:25.437784+01:00</t>
  </si>
  <si>
    <t>https://cropontology.org/term/CO_356:1000140</t>
  </si>
  <si>
    <t>MORPHO_OIV_088</t>
  </si>
  <si>
    <t>Mature leaf: prostrate hairs on main veins on upper side of blade</t>
  </si>
  <si>
    <t>Mature leaf: prostrate hairs on main veins on upper side of blade
Creator : Eric Duchene
Institution : INRAE</t>
  </si>
  <si>
    <t>https://cropontology.org/term/CO_356:2000203</t>
  </si>
  <si>
    <t>https://cropontology.org/term/CO_356:3000050</t>
  </si>
  <si>
    <t>OIV:088</t>
  </si>
  <si>
    <t>2024-01-03T15:31:25.780027+01:00</t>
  </si>
  <si>
    <t>https://cropontology.org/term/CO_356:1000122</t>
  </si>
  <si>
    <t>MORPHO_OIV_089</t>
  </si>
  <si>
    <t>Mature leaf: erect hairs on main veins on upper side of blade</t>
  </si>
  <si>
    <t>Mature leaf: erect hairs on main veins on upper side of blade
Creator : Eric Duchene
Institution : INRAE</t>
  </si>
  <si>
    <t>https://cropontology.org/term/CO_356:2000200</t>
  </si>
  <si>
    <t>https://cropontology.org/term/CO_356:3000051</t>
  </si>
  <si>
    <t>OIV:089</t>
  </si>
  <si>
    <t>2024-01-03T15:31:26.135376+01:00</t>
  </si>
  <si>
    <t>https://cropontology.org/term/CO_356:1000120</t>
  </si>
  <si>
    <t>MORPHO_OIV_090</t>
  </si>
  <si>
    <t>Mature leaf: density of prostrate hairs on petiole</t>
  </si>
  <si>
    <t>Mature leaf: density of prostrate hairs on petiole
Creator : Eric Duchene
Institution : INRAE</t>
  </si>
  <si>
    <t>https://cropontology.org/term/CO_356:2000072</t>
  </si>
  <si>
    <t>https://cropontology.org/term/CO_356:3000052</t>
  </si>
  <si>
    <t>OIV:090</t>
  </si>
  <si>
    <t>2024-01-03T15:31:26.442993+01:00</t>
  </si>
  <si>
    <t>https://cropontology.org/term/CO_356:1000115</t>
  </si>
  <si>
    <t>MORPHO_OIV_091</t>
  </si>
  <si>
    <t>Mature leaf: density of erect hairs on petiole</t>
  </si>
  <si>
    <t>Mature leaf: density of erect hairs on petiole
Creator : Eric Duchene
Institution : INRAE</t>
  </si>
  <si>
    <t>https://cropontology.org/term/CO_356:2000069</t>
  </si>
  <si>
    <t>https://cropontology.org/term/CO_356:3000053</t>
  </si>
  <si>
    <t>OIV:091</t>
  </si>
  <si>
    <t>2024-01-03T15:31:26.767257+01:00</t>
  </si>
  <si>
    <t>https://cropontology.org/term/CO_356:1000125</t>
  </si>
  <si>
    <t>MORPHO_OIV_093</t>
  </si>
  <si>
    <t>Mature leaf: length of petiole compared to length of middle vein</t>
  </si>
  <si>
    <t>Mature leaf: length of petiole compared to length of middle vein
Creator : Eric Duchene
Institution : INRAE</t>
  </si>
  <si>
    <t>https://cropontology.org/term/CO_356:2000074</t>
  </si>
  <si>
    <t>https://cropontology.org/term/CO_356:3000054</t>
  </si>
  <si>
    <t>OIV:093</t>
  </si>
  <si>
    <t>2024-01-03T15:31:27.097266+01:00</t>
  </si>
  <si>
    <t>https://cropontology.org/term/CO_356:1000121</t>
  </si>
  <si>
    <t>MORPHO_OIV_094</t>
  </si>
  <si>
    <t>Mature leaf: depth of upper lateral sinuses</t>
  </si>
  <si>
    <t>Mature leaf: depth of upper lateral sinuses
Creator : Eric Duchene
Institution : INRAE</t>
  </si>
  <si>
    <t>https://cropontology.org/term/CO_356:2000199</t>
  </si>
  <si>
    <t>https://cropontology.org/term/CO_356:3000055</t>
  </si>
  <si>
    <t>OIV:094</t>
  </si>
  <si>
    <t>2024-01-03T15:31:27.422053+01:00</t>
  </si>
  <si>
    <t>https://cropontology.org/term/CO_356:1000241</t>
  </si>
  <si>
    <t>MORPHO_OIV_101</t>
  </si>
  <si>
    <t>Woody shoot: cross section</t>
  </si>
  <si>
    <t>Woody shoot: cross section
Creator : Eric Duchene
Institution : INRAE</t>
  </si>
  <si>
    <t>https://cropontology.org/term/CO_356:2000163</t>
  </si>
  <si>
    <t>vitioeno:id/variable/entity.woody_shoot</t>
  </si>
  <si>
    <t>Woody shoot</t>
  </si>
  <si>
    <t>https://cropontology.org/term/CO_356:3000056</t>
  </si>
  <si>
    <t>OIV:101</t>
  </si>
  <si>
    <t>2024-01-03T15:31:27.732178+01:00</t>
  </si>
  <si>
    <t>https://cropontology.org/term/CO_356:1000246</t>
  </si>
  <si>
    <t>MORPHO_OIV_102</t>
  </si>
  <si>
    <t>Woody shoot: structure of surface</t>
  </si>
  <si>
    <t>Woody shoot: structure of surface
Creator : Eric Duchene
Institution : INRAE</t>
  </si>
  <si>
    <t>https://cropontology.org/term/CO_356:2000167</t>
  </si>
  <si>
    <t>https://cropontology.org/term/CO_356:3000057</t>
  </si>
  <si>
    <t>OIV:102</t>
  </si>
  <si>
    <t>2024-01-03T15:31:28.053235+01:00</t>
  </si>
  <si>
    <t>https://cropontology.org/term/CO_356:1000245</t>
  </si>
  <si>
    <t>MORPHO_OIV_103</t>
  </si>
  <si>
    <t>Woody shoot: main color</t>
  </si>
  <si>
    <t>Woody shoot: main color
Creator : Eric Duchene
Institution : INRAE</t>
  </si>
  <si>
    <t>https://cropontology.org/term/CO_356:2000166</t>
  </si>
  <si>
    <t>https://cropontology.org/term/CO_356:3000058</t>
  </si>
  <si>
    <t>OIV:103</t>
  </si>
  <si>
    <t>2024-01-03T15:31:28.375469+01:00</t>
  </si>
  <si>
    <t>https://cropontology.org/term/CO_356:1000244</t>
  </si>
  <si>
    <t>MORPHO_OIV_104</t>
  </si>
  <si>
    <t>Woody shoot: lenticels</t>
  </si>
  <si>
    <t>Woody shoot: lenticels
Creator : Eric Duchene
Institution : INRAE</t>
  </si>
  <si>
    <t>https://cropontology.org/term/CO_356:2000165</t>
  </si>
  <si>
    <t>https://cropontology.org/term/CO_356:3000059</t>
  </si>
  <si>
    <t>OIV:104</t>
  </si>
  <si>
    <t>2024-01-03T15:31:28.716116+01:00</t>
  </si>
  <si>
    <t>https://cropontology.org/term/CO_356:1000243</t>
  </si>
  <si>
    <t>MORPHO_OIV_105</t>
  </si>
  <si>
    <t>Woody shoot: erect hairs on nodes</t>
  </si>
  <si>
    <t>Woody shoot: erect hairs on nodes
Creator : Eric Duchene
Institution : INRAE</t>
  </si>
  <si>
    <t>https://cropontology.org/term/CO_356:2000217</t>
  </si>
  <si>
    <t>https://cropontology.org/term/CO_356:3000060</t>
  </si>
  <si>
    <t>OIV:105</t>
  </si>
  <si>
    <t>2024-01-03T15:31:29.059327+01:00</t>
  </si>
  <si>
    <t>https://cropontology.org/term/CO_356:1000242</t>
  </si>
  <si>
    <t>MORPHO_OIV_106</t>
  </si>
  <si>
    <t>Woody shoot: erect hairs on internodes</t>
  </si>
  <si>
    <t>Woody shoot: erect hairs on internodes
Creator : Eric Duchene
Institution : INRAE</t>
  </si>
  <si>
    <t>https://cropontology.org/term/CO_356:2000164</t>
  </si>
  <si>
    <t>https://cropontology.org/term/CO_356:3000061</t>
  </si>
  <si>
    <t>OIV:106</t>
  </si>
  <si>
    <t>2024-01-03T15:31:29.424214+01:00</t>
  </si>
  <si>
    <t>https://cropontology.org/term/CO_356:1000084</t>
  </si>
  <si>
    <t>MORPHO_OIV_151</t>
  </si>
  <si>
    <t>Flower: sexual organs</t>
  </si>
  <si>
    <t>Flower: sexual organs
Creator : Eric Duchene
Institution : INRAE</t>
  </si>
  <si>
    <t>https://cropontology.org/term/CO_356:2000055</t>
  </si>
  <si>
    <t>gao:30070</t>
  </si>
  <si>
    <t>flower</t>
  </si>
  <si>
    <t>https://cropontology.org/term/CO_356:3000062</t>
  </si>
  <si>
    <t>OIV:151</t>
  </si>
  <si>
    <t>2024-01-03T15:31:29.765451+01:00</t>
  </si>
  <si>
    <t>https://cropontology.org/term/CO_356:1000091</t>
  </si>
  <si>
    <t>MORPHO_OIV_152</t>
  </si>
  <si>
    <t>Inflorescence: insertion of 1st inflorescence</t>
  </si>
  <si>
    <t>Inflorescence: insertion of 1st inflorescence
Creator : Eric Duchene
Institution : INRAE</t>
  </si>
  <si>
    <t>https://cropontology.org/term/CO_356:2000060</t>
  </si>
  <si>
    <t>vitioeno:set/variables#characteristic.position</t>
  </si>
  <si>
    <t>insertion of 1st inflorescence</t>
  </si>
  <si>
    <t>https://cropontology.org/term/CO_356:3000063</t>
  </si>
  <si>
    <t>OIV:152</t>
  </si>
  <si>
    <t>2024-01-03T15:31:30.090585+01:00</t>
  </si>
  <si>
    <t>https://cropontology.org/term/CO_356:1000209</t>
  </si>
  <si>
    <t>MORPHO_OIV_155</t>
  </si>
  <si>
    <t>Shoot: fertility of basal buds (buds 1-3)</t>
  </si>
  <si>
    <t>Shoot: fertility of basal buds (buds 1-3)
Creator : Eric Duchene
Institution : INRAE</t>
  </si>
  <si>
    <t>https://cropontology.org/term/CO_356:2000138</t>
  </si>
  <si>
    <t>https://cropontology.org/term/CO_356:4000030</t>
  </si>
  <si>
    <t>S1_5_9</t>
  </si>
  <si>
    <t>https://cropontology.org/term/CO_356:3000065</t>
  </si>
  <si>
    <t>OIV:155</t>
  </si>
  <si>
    <t>2024-01-03T15:31:30.423483+01:00</t>
  </si>
  <si>
    <t>https://cropontology.org/term/CO_356:1000038</t>
  </si>
  <si>
    <t>MORPHO_OIV_202</t>
  </si>
  <si>
    <t>Bunch: length (peduncle excluded)</t>
  </si>
  <si>
    <t>Bunch: length (peduncle excluded)
Creator : Eric Duchene
Institution : INRAE</t>
  </si>
  <si>
    <t>https://cropontology.org/term/CO_356:2000021</t>
  </si>
  <si>
    <t>Bunch length</t>
  </si>
  <si>
    <t>vitioeno:set/variables#characteristic.length</t>
  </si>
  <si>
    <t>Length (peduncle excluded)</t>
  </si>
  <si>
    <t>https://cropontology.org/term/CO_356:3000066</t>
  </si>
  <si>
    <t>OIV:202</t>
  </si>
  <si>
    <t>2024-01-03T15:31:30.774309+01:00</t>
  </si>
  <si>
    <t>https://cropontology.org/term/CO_356:1000043</t>
  </si>
  <si>
    <t>MORPHO_OIV_203</t>
  </si>
  <si>
    <t>Bunch: width</t>
  </si>
  <si>
    <t>Bunch: width
Creator : Eric Duchene
Institution : INRAE</t>
  </si>
  <si>
    <t>https://cropontology.org/term/CO_356:2000026</t>
  </si>
  <si>
    <t>vitioeno:id/variable/entity.bunch</t>
  </si>
  <si>
    <t>Bunch</t>
  </si>
  <si>
    <t>https://cropontology.org/term/CO_356:3000067</t>
  </si>
  <si>
    <t>OIV:203</t>
  </si>
  <si>
    <t>2024-01-03T15:31:31.078881+01:00</t>
  </si>
  <si>
    <t>https://cropontology.org/term/CO_356:1000037</t>
  </si>
  <si>
    <t>MORPHO_OIV_204</t>
  </si>
  <si>
    <t>Bunch: density</t>
  </si>
  <si>
    <t>Bunch: density
Creator : Eric Duchene
Institution : INRAE</t>
  </si>
  <si>
    <t>https://cropontology.org/term/CO_356:2000020</t>
  </si>
  <si>
    <t>https://cropontology.org/term/CO_356:3000068</t>
  </si>
  <si>
    <t>OIV:204</t>
  </si>
  <si>
    <t>2024-01-03T15:31:31.400203+01:00</t>
  </si>
  <si>
    <t>https://cropontology.org/term/CO_356:1000040</t>
  </si>
  <si>
    <t>MORPHO_OIV_206</t>
  </si>
  <si>
    <t>Bunch: length of peduncle of primary bunch</t>
  </si>
  <si>
    <t>Bunch: length of peduncle of primary bunch
Creator : Eric Duchene
Institution : INRAE</t>
  </si>
  <si>
    <t>https://cropontology.org/term/CO_356:2000023</t>
  </si>
  <si>
    <t>https://cropontology.org/term/CO_356:3000069</t>
  </si>
  <si>
    <t>OIV:206</t>
  </si>
  <si>
    <t>2024-01-03T15:31:31.843438+01:00</t>
  </si>
  <si>
    <t>https://cropontology.org/term/CO_356:1000039</t>
  </si>
  <si>
    <t>MORPHO_OIV_207</t>
  </si>
  <si>
    <t>Bunch: lignification of peduncle</t>
  </si>
  <si>
    <t>Bunch: lignification of peduncle
Creator : Eric Duchene
Institution : INRAE</t>
  </si>
  <si>
    <t>https://cropontology.org/term/CO_356:2000022</t>
  </si>
  <si>
    <t>https://cropontology.org/term/CO_356:4000029</t>
  </si>
  <si>
    <t>S1_5_7</t>
  </si>
  <si>
    <t>https://cropontology.org/term/CO_356:3000070</t>
  </si>
  <si>
    <t>OIV:207</t>
  </si>
  <si>
    <t>2024-01-03T15:31:32.152018+01:00</t>
  </si>
  <si>
    <t>https://cropontology.org/term/CO_356:1000042</t>
  </si>
  <si>
    <t>MORPHO_OIV_208</t>
  </si>
  <si>
    <t>Bunch: shape</t>
  </si>
  <si>
    <t>Bunch: shape
Creator : Eric Duchene
Institution : INRAE</t>
  </si>
  <si>
    <t>https://cropontology.org/term/CO_356:2000025</t>
  </si>
  <si>
    <t>https://cropontology.org/term/CO_356:3000071</t>
  </si>
  <si>
    <t>OIV:208</t>
  </si>
  <si>
    <t>2024-01-03T15:31:32.477061+01:00</t>
  </si>
  <si>
    <t>https://cropontology.org/term/CO_356:1000041</t>
  </si>
  <si>
    <t>MORPHO_OIV_209</t>
  </si>
  <si>
    <t>Bunch: number of wings of the primary bunch</t>
  </si>
  <si>
    <t>Bunch: number of wings of the primary bunch
Creator : Eric Duchene
Institution : INRAE</t>
  </si>
  <si>
    <t>https://cropontology.org/term/CO_356:2000024</t>
  </si>
  <si>
    <t>https://cropontology.org/term/CO_356:3000072</t>
  </si>
  <si>
    <t>OIV:209</t>
  </si>
  <si>
    <t>2024-01-03T15:31:32.792976+01:00</t>
  </si>
  <si>
    <t>https://cropontology.org/term/CO_356:1000024</t>
  </si>
  <si>
    <t>MORPHO_OIV_220</t>
  </si>
  <si>
    <t>Berry: length</t>
  </si>
  <si>
    <t>Berry: length
Creator : Eric Duchene
Institution : INRAE</t>
  </si>
  <si>
    <t>https://cropontology.org/term/CO_356:2000012</t>
  </si>
  <si>
    <t>https://cropontology.org/term/CO_356:3000073</t>
  </si>
  <si>
    <t>OIV:220</t>
  </si>
  <si>
    <t>2024-01-03T15:31:33.12385+01:00</t>
  </si>
  <si>
    <t>https://cropontology.org/term/CO_356:1000035</t>
  </si>
  <si>
    <t>MORPHO_OIV_221</t>
  </si>
  <si>
    <t>Berry: width</t>
  </si>
  <si>
    <t>Berry: width
Creator : Eric Duchene
Institution : INRAE</t>
  </si>
  <si>
    <t>https://cropontology.org/term/CO_356:2000184</t>
  </si>
  <si>
    <t>https://cropontology.org/term/CO_356:3000074</t>
  </si>
  <si>
    <t>OIV:221</t>
  </si>
  <si>
    <t>2024-01-03T15:31:33.426674+01:00</t>
  </si>
  <si>
    <t>https://cropontology.org/term/CO_356:1000034</t>
  </si>
  <si>
    <t>MORPHO_OIV_222</t>
  </si>
  <si>
    <t>Berry: uniformity of size</t>
  </si>
  <si>
    <t>Berry: uniformity of size
Creator : Eric Duchene
Institution : INRAE</t>
  </si>
  <si>
    <t>https://cropontology.org/term/CO_356:2000018</t>
  </si>
  <si>
    <t>https://cropontology.org/term/CO_356:3000075</t>
  </si>
  <si>
    <t>OIV:222</t>
  </si>
  <si>
    <t>2024-01-03T15:31:33.951866+01:00</t>
  </si>
  <si>
    <t>https://cropontology.org/term/CO_356:1000029</t>
  </si>
  <si>
    <t>MORPHO_OIV_223</t>
  </si>
  <si>
    <t>Berry: shape</t>
  </si>
  <si>
    <t>Berry: shape
Creator : Eric Duchene
Institution : INRAE</t>
  </si>
  <si>
    <t>https://cropontology.org/term/CO_356:2000016</t>
  </si>
  <si>
    <t>https://cropontology.org/term/CO_356:4000021</t>
  </si>
  <si>
    <t>S1_10:OIV223</t>
  </si>
  <si>
    <t>https://cropontology.org/term/CO_356:3000076</t>
  </si>
  <si>
    <t>OIV:223</t>
  </si>
  <si>
    <t>2024-01-03T15:31:34.29306+01:00</t>
  </si>
  <si>
    <t>https://cropontology.org/term/CO_356:1000017</t>
  </si>
  <si>
    <t>MORPHO_OIV_225</t>
  </si>
  <si>
    <t>Berry: color of skin</t>
  </si>
  <si>
    <t>Berry: color of skin
Creator : Eric Duchene
Institution : INRAE</t>
  </si>
  <si>
    <t>https://cropontology.org/term/CO_356:2000007</t>
  </si>
  <si>
    <t>https://cropontology.org/term/CO_356:4000031</t>
  </si>
  <si>
    <t>S1_6</t>
  </si>
  <si>
    <t>https://cropontology.org/term/CO_356:3000077</t>
  </si>
  <si>
    <t>OIV:225</t>
  </si>
  <si>
    <t>2024-01-03T15:31:34.617287+01:00</t>
  </si>
  <si>
    <t>https://cropontology.org/term/CO_356:1000033</t>
  </si>
  <si>
    <t>MORPHO_OIV_226</t>
  </si>
  <si>
    <t>Berry: uniformity of color of skin</t>
  </si>
  <si>
    <t>Berry: uniformity of color of skin
Creator : Eric Duchene
Institution : INRAE</t>
  </si>
  <si>
    <t>https://cropontology.org/term/CO_356:2000183</t>
  </si>
  <si>
    <t>https://cropontology.org/term/CO_356:3000078</t>
  </si>
  <si>
    <t>OIV:226</t>
  </si>
  <si>
    <t>2024-01-03T15:31:34.955465+01:00</t>
  </si>
  <si>
    <t>https://cropontology.org/term/CO_356:1000016</t>
  </si>
  <si>
    <t>MORPHO_OIV_227</t>
  </si>
  <si>
    <t>Berry: bloom</t>
  </si>
  <si>
    <t>Berry: bloom
Creator : Eric Duchene
Institution : INRAE</t>
  </si>
  <si>
    <t>https://cropontology.org/term/CO_356:2000006</t>
  </si>
  <si>
    <t>https://cropontology.org/term/CO_356:3000079</t>
  </si>
  <si>
    <t>OIV:227</t>
  </si>
  <si>
    <t>2024-01-03T15:31:35.318819+01:00</t>
  </si>
  <si>
    <t>https://cropontology.org/term/CO_356:1000032</t>
  </si>
  <si>
    <t>MORPHO_OIV_228</t>
  </si>
  <si>
    <t>Berry: thickness of skin</t>
  </si>
  <si>
    <t>Berry: thickness of skin
Creator : Eric Duchene
Institution : INRAE</t>
  </si>
  <si>
    <t>https://cropontology.org/term/CO_356:2000182</t>
  </si>
  <si>
    <t>https://cropontology.org/term/CO_356:3000080</t>
  </si>
  <si>
    <t>OIV:228</t>
  </si>
  <si>
    <t>2024-01-03T15:31:35.674466+01:00</t>
  </si>
  <si>
    <t>https://cropontology.org/term/CO_356:1000021</t>
  </si>
  <si>
    <t>MORPHO_OIV_229</t>
  </si>
  <si>
    <t>Berry: hilum</t>
  </si>
  <si>
    <t>Berry: hilum
Creator : Eric Duchene
Institution : INRAE</t>
  </si>
  <si>
    <t>https://cropontology.org/term/CO_356:2000179</t>
  </si>
  <si>
    <t>Berry hilum</t>
  </si>
  <si>
    <t>https://cropontology.org/term/CO_356:3000081</t>
  </si>
  <si>
    <t>OIV:229</t>
  </si>
  <si>
    <t>2024-01-03T15:31:35.992321+01:00</t>
  </si>
  <si>
    <t>https://cropontology.org/term/CO_356:1000022</t>
  </si>
  <si>
    <t>MORPHO_OIV_231</t>
  </si>
  <si>
    <t>Berry: intensity of the anthocyanin coloration of flesh</t>
  </si>
  <si>
    <t>Berry: intensity of the anthocyanin coloration of flesh
Creator : Eric Duchene
Institution : INRAE</t>
  </si>
  <si>
    <t>https://cropontology.org/term/CO_356:2000180</t>
  </si>
  <si>
    <t>https://cropontology.org/term/CO_356:3000082</t>
  </si>
  <si>
    <t>OIV:231</t>
  </si>
  <si>
    <t>2024-01-03T15:31:36.324958+01:00</t>
  </si>
  <si>
    <t>https://cropontology.org/term/CO_356:1000023</t>
  </si>
  <si>
    <t>MORPHO_OIV_232</t>
  </si>
  <si>
    <t>Berry: juiciness of flesh</t>
  </si>
  <si>
    <t>Berry: juiciness of flesh
Creator : Eric Duchene
Institution : INRAE</t>
  </si>
  <si>
    <t>https://cropontology.org/term/CO_356:2000011</t>
  </si>
  <si>
    <t>vitioeno:set/variables#characteristic.juiciness</t>
  </si>
  <si>
    <t>juiciness of flesh</t>
  </si>
  <si>
    <t>https://cropontology.org/term/CO_356:3000083</t>
  </si>
  <si>
    <t>OIV:232</t>
  </si>
  <si>
    <t>2024-01-03T15:31:36.67213+01:00</t>
  </si>
  <si>
    <t>https://cropontology.org/term/CO_356:1000019</t>
  </si>
  <si>
    <t>MORPHO_OIV_235</t>
  </si>
  <si>
    <t>Berry: firmness of flesh</t>
  </si>
  <si>
    <t>Berry: firmness of flesh
Creator : Eric Duchene
Institution : INRAE</t>
  </si>
  <si>
    <t>https://cropontology.org/term/CO_356:2000009</t>
  </si>
  <si>
    <t>vitioeno:set/variables#characteristic.firmness</t>
  </si>
  <si>
    <t>firmness of flesh</t>
  </si>
  <si>
    <t>https://cropontology.org/term/CO_356:3000085</t>
  </si>
  <si>
    <t>OIV:235</t>
  </si>
  <si>
    <t>2024-01-03T15:31:36.988319+01:00</t>
  </si>
  <si>
    <t>https://cropontology.org/term/CO_356:1000028</t>
  </si>
  <si>
    <t>MORPHO_OIV_236</t>
  </si>
  <si>
    <t>Berry: particularity of flavor</t>
  </si>
  <si>
    <t>Berry: particularity of flavor
Creator : Eric Duchene
Institution : INRAE</t>
  </si>
  <si>
    <t>https://cropontology.org/term/CO_356:2000015</t>
  </si>
  <si>
    <t>vitioeno:set/variables#characteristic.flavor</t>
  </si>
  <si>
    <t>particularity of flavor</t>
  </si>
  <si>
    <t>https://cropontology.org/term/CO_356:3000086</t>
  </si>
  <si>
    <t>OIV:236</t>
  </si>
  <si>
    <t>2024-01-03T15:31:37.302384+01:00</t>
  </si>
  <si>
    <t>https://cropontology.org/term/CO_356:1000025</t>
  </si>
  <si>
    <t>MORPHO_OIV_238</t>
  </si>
  <si>
    <t>Berry: length of pedicel</t>
  </si>
  <si>
    <t>Berry: length of pedicel
Creator : Eric Duchene
Institution : INRAE</t>
  </si>
  <si>
    <t>https://cropontology.org/term/CO_356:2000181</t>
  </si>
  <si>
    <t>Berry pedicel</t>
  </si>
  <si>
    <t>https://cropontology.org/term/CO_356:3000087</t>
  </si>
  <si>
    <t>OIV:238</t>
  </si>
  <si>
    <t>2024-01-03T15:31:37.636147+01:00</t>
  </si>
  <si>
    <t>https://cropontology.org/term/CO_356:1000018</t>
  </si>
  <si>
    <t>MORPHO_OIV_240</t>
  </si>
  <si>
    <t>Berry: ease of detachment from pedicel</t>
  </si>
  <si>
    <t>Berry: ease of detachment from pedicel
Creator : Eric Duchene
Institution : INRAE</t>
  </si>
  <si>
    <t>https://cropontology.org/term/CO_356:2000008</t>
  </si>
  <si>
    <t>https://cropontology.org/term/CO_356:3000088</t>
  </si>
  <si>
    <t>OIV:240</t>
  </si>
  <si>
    <t>2024-01-03T15:31:38.02836+01:00</t>
  </si>
  <si>
    <t>https://cropontology.org/term/CO_356:1000020</t>
  </si>
  <si>
    <t>MORPHO_OIV_241</t>
  </si>
  <si>
    <t>Berry: formation of seeds</t>
  </si>
  <si>
    <t>Berry: formation of seeds
Creator : Eric Duchene
Institution : INRAE</t>
  </si>
  <si>
    <t>https://cropontology.org/term/CO_356:2000010</t>
  </si>
  <si>
    <t>https://cropontology.org/term/CO_356:3000089</t>
  </si>
  <si>
    <t>OIV:241</t>
  </si>
  <si>
    <t>2024-01-03T15:31:38.344044+01:00</t>
  </si>
  <si>
    <t>https://cropontology.org/term/CO_356:1000026</t>
  </si>
  <si>
    <t>MORPHO_OIV_242</t>
  </si>
  <si>
    <t>Berry: length of seeds</t>
  </si>
  <si>
    <t>Berry: length of seeds
Creator : Eric Duchene
Institution : INRAE</t>
  </si>
  <si>
    <t>https://cropontology.org/term/CO_356:2000013</t>
  </si>
  <si>
    <t>https://cropontology.org/term/CO_356:3000090</t>
  </si>
  <si>
    <t>OIV:242</t>
  </si>
  <si>
    <t>2024-01-03T15:31:38.695975+01:00</t>
  </si>
  <si>
    <t>https://cropontology.org/term/CO_356:1000036</t>
  </si>
  <si>
    <t>MORPHO_OIV_243</t>
  </si>
  <si>
    <t>Berry: weight of seeds</t>
  </si>
  <si>
    <t>Berry: weight of seeds
Creator : Eric Duchene
Institution : INRAE</t>
  </si>
  <si>
    <t>https://cropontology.org/term/CO_356:2000019</t>
  </si>
  <si>
    <t>vitioeno:set/variables#characteristic.weight</t>
  </si>
  <si>
    <t>weight of seeds</t>
  </si>
  <si>
    <t>https://cropontology.org/term/CO_356:3000091</t>
  </si>
  <si>
    <t>OIV:243</t>
  </si>
  <si>
    <t>2024-01-03T15:31:39.01702+01:00</t>
  </si>
  <si>
    <t>https://cropontology.org/term/CO_356:1000031</t>
  </si>
  <si>
    <t>MORPHO_OIV_244</t>
  </si>
  <si>
    <t>Berry: transversal ridges on dorsal side of seeds</t>
  </si>
  <si>
    <t>Berry: transversal ridges on dorsal side of seeds
Creator : Eric Duchene
Institution : INRAE</t>
  </si>
  <si>
    <t>https://cropontology.org/term/CO_356:2000017</t>
  </si>
  <si>
    <t>https://cropontology.org/term/CO_356:3000092</t>
  </si>
  <si>
    <t>OIV:244</t>
  </si>
  <si>
    <t>2024-01-03T15:31:39.371918+01:00</t>
  </si>
  <si>
    <t>https://cropontology.org/term/CO_356:1000087</t>
  </si>
  <si>
    <t>MORPHO_OIV_352</t>
  </si>
  <si>
    <t>Growth of axillary shoots</t>
  </si>
  <si>
    <t>Growth of axillary shoots
Creator : Eric Duchene
Institution : INRAE</t>
  </si>
  <si>
    <t>https://cropontology.org/term/CO_356:2000058</t>
  </si>
  <si>
    <t>https://cropontology.org/term/CO_356:3000100</t>
  </si>
  <si>
    <t>OIV:352</t>
  </si>
  <si>
    <t>2024-01-03T15:31:39.715634+01:00</t>
  </si>
  <si>
    <t>https://cropontology.org/term/CO_356:1000101</t>
  </si>
  <si>
    <t>MORPHO_OIV_353</t>
  </si>
  <si>
    <t>Length of internodes</t>
  </si>
  <si>
    <t>Length of internodes
Creator : Eric Duchene
Institution : INRAE</t>
  </si>
  <si>
    <t>https://cropontology.org/term/CO_356:2000064</t>
  </si>
  <si>
    <t>https://cropontology.org/term/CO_356:3000101</t>
  </si>
  <si>
    <t>OIV:353</t>
  </si>
  <si>
    <t>2024-01-03T15:31:40.073519+01:00</t>
  </si>
  <si>
    <t>https://cropontology.org/term/CO_356:1000196</t>
  </si>
  <si>
    <t>MORPHO_OIV_552</t>
  </si>
  <si>
    <t>Rootstock: formation of callus (upper end)</t>
  </si>
  <si>
    <t>Rootstock: formation of callus (upper end)
Creator : Eric Duchene
Institution : INRAE</t>
  </si>
  <si>
    <t>https://cropontology.org/term/CO_356:2000129</t>
  </si>
  <si>
    <t>Rootstock callus</t>
  </si>
  <si>
    <t>vitioeno:id/variable/characteristic.formation_of_callus</t>
  </si>
  <si>
    <t>Formation of callus</t>
  </si>
  <si>
    <t>https://cropontology.org/term/CO_356:3000123</t>
  </si>
  <si>
    <t>OIV:552</t>
  </si>
  <si>
    <t>2024-01-03T15:31:40.379842+01:00</t>
  </si>
  <si>
    <t>https://cropontology.org/term/CO_356:1000195</t>
  </si>
  <si>
    <t>MORPHO_OIV_553</t>
  </si>
  <si>
    <t>Rootstock: adventitious root formation</t>
  </si>
  <si>
    <t>Rootstock: adventitious root formation
Creator : Eric Duchene
Institution : INRAE</t>
  </si>
  <si>
    <t>https://cropontology.org/term/CO_356:2000128</t>
  </si>
  <si>
    <t>Rootstock adventitious root formation</t>
  </si>
  <si>
    <t>https://cropontology.org/term/CO_356:3000002</t>
  </si>
  <si>
    <t>OIV:553</t>
  </si>
  <si>
    <t>2024-01-03T15:31:40.72436+01:00</t>
  </si>
  <si>
    <t>https://cropontology.org/term/CO_356:1000131</t>
  </si>
  <si>
    <t>MORPHO_OIV_601</t>
  </si>
  <si>
    <t>Mature leaf: length of vein N1</t>
  </si>
  <si>
    <t>Mature leaf: length of vein N1
Creator : Eric Duchene
Institution : INRAE</t>
  </si>
  <si>
    <t>https://cropontology.org/term/CO_356:2000080</t>
  </si>
  <si>
    <t>https://cropontology.org/term/CO_356:3000124</t>
  </si>
  <si>
    <t>OIV:601</t>
  </si>
  <si>
    <t>2024-01-03T15:31:41.202043+01:00</t>
  </si>
  <si>
    <t>https://cropontology.org/term/CO_356:1000132</t>
  </si>
  <si>
    <t>MORPHO_OIV_602</t>
  </si>
  <si>
    <t>Mature leaf: length of vein N2</t>
  </si>
  <si>
    <t>Mature leaf: length of vein N2
Creator : Eric Duchene
Institution : INRAE</t>
  </si>
  <si>
    <t>https://cropontology.org/term/CO_356:2000081</t>
  </si>
  <si>
    <t>https://cropontology.org/term/CO_356:3000125</t>
  </si>
  <si>
    <t>OIV:602</t>
  </si>
  <si>
    <t>2024-01-03T15:31:41.498078+01:00</t>
  </si>
  <si>
    <t>https://cropontology.org/term/CO_356:1000133</t>
  </si>
  <si>
    <t>MORPHO_OIV_603</t>
  </si>
  <si>
    <t>Mature leaf: length of vein N3</t>
  </si>
  <si>
    <t>Mature leaf: length of vein N3
Creator : Eric Duchene
Institution : INRAE</t>
  </si>
  <si>
    <t>https://cropontology.org/term/CO_356:2000082</t>
  </si>
  <si>
    <t>https://cropontology.org/term/CO_356:3000126</t>
  </si>
  <si>
    <t>OIV:603</t>
  </si>
  <si>
    <t>2024-01-03T15:31:41.805393+01:00</t>
  </si>
  <si>
    <t>https://cropontology.org/term/CO_356:1000134</t>
  </si>
  <si>
    <t>MORPHO_OIV_604</t>
  </si>
  <si>
    <t>Mature leaf: length of vein N4</t>
  </si>
  <si>
    <t>Mature leaf: length of vein N4
Creator : Eric Duchene
Institution : INRAE</t>
  </si>
  <si>
    <t>https://cropontology.org/term/CO_356:2000083</t>
  </si>
  <si>
    <t>https://cropontology.org/term/CO_356:3000127</t>
  </si>
  <si>
    <t>OIV:604</t>
  </si>
  <si>
    <t>2024-01-03T15:31:42.113624+01:00</t>
  </si>
  <si>
    <t>https://cropontology.org/term/CO_356:1000127</t>
  </si>
  <si>
    <t>MORPHO_OIV_605</t>
  </si>
  <si>
    <t>Mature leaf: length petiole sinus to upper lateral leaf sinus</t>
  </si>
  <si>
    <t>Mature leaf: length petiole sinus to upper lateral leaf sinus
Creator : Eric Duchene
Institution : INRAE</t>
  </si>
  <si>
    <t>https://cropontology.org/term/CO_356:2000076</t>
  </si>
  <si>
    <t>https://cropontology.org/term/CO_356:3000128</t>
  </si>
  <si>
    <t>OIV:605</t>
  </si>
  <si>
    <t>2024-01-03T15:31:42.454129+01:00</t>
  </si>
  <si>
    <t>https://cropontology.org/term/CO_356:1000126</t>
  </si>
  <si>
    <t>MORPHO_OIV_606</t>
  </si>
  <si>
    <t>Mature leaf: length petiole sinus to lower lateral leaf sinus</t>
  </si>
  <si>
    <t>Mature leaf: length petiole sinus to lower lateral leaf sinus
Creator : Eric Duchene
Institution : INRAE</t>
  </si>
  <si>
    <t>https://cropontology.org/term/CO_356:2000075</t>
  </si>
  <si>
    <t>https://cropontology.org/term/CO_356:3000129</t>
  </si>
  <si>
    <t>OIV:606</t>
  </si>
  <si>
    <t>2024-01-03T15:31:42.779837+01:00</t>
  </si>
  <si>
    <t>https://cropontology.org/term/CO_356:1000107</t>
  </si>
  <si>
    <t>MORPHO_OIV_607</t>
  </si>
  <si>
    <t>Mature leaf: angle between N1 and N2 (Code Nos OIV 601 and OIV 602) measured at the first ramification</t>
  </si>
  <si>
    <t>Mature leaf: angle between N1 and N2 (Code Nos OIV 601 and OIV 602) measured at the first ramification
Creator : Eric Duchene
Institution : INRAE</t>
  </si>
  <si>
    <t>https://cropontology.org/term/CO_356:2000067</t>
  </si>
  <si>
    <t>https://cropontology.org/term/CO_356:3000130</t>
  </si>
  <si>
    <t>OIV:607</t>
  </si>
  <si>
    <t>2024-01-03T15:31:43.101627+01:00</t>
  </si>
  <si>
    <t>https://cropontology.org/term/CO_356:1000108</t>
  </si>
  <si>
    <t>MORPHO_OIV_608</t>
  </si>
  <si>
    <t>Mature leaf: angle between N2 and N3 (Code Nos OIV 601 and OIV 602) measured at the first ramification</t>
  </si>
  <si>
    <t>Mature leaf: angle between N2 and N3 (Code Nos OIV 601 and OIV 602) measured at the first ramification
Creator : Eric Duchene
Institution : INRAE</t>
  </si>
  <si>
    <t>https://cropontology.org/term/CO_356:2000193</t>
  </si>
  <si>
    <t>https://cropontology.org/term/CO_356:3000131</t>
  </si>
  <si>
    <t>OIV:608</t>
  </si>
  <si>
    <t>2024-01-03T15:31:43.415682+01:00</t>
  </si>
  <si>
    <t>https://cropontology.org/term/CO_356:1000109</t>
  </si>
  <si>
    <t>MORPHO_OIV_609</t>
  </si>
  <si>
    <t>Mature leaf: angle between N3 and N4 (Code Nos OIV 601 and OIV 602) measured at the first ramification</t>
  </si>
  <si>
    <t>Mature leaf: angle between N3 and N4 (Code Nos OIV 601 and OIV 602) measured at the first ramification
Creator : Eric Duchene
Institution : INRAE</t>
  </si>
  <si>
    <t>https://cropontology.org/term/CO_356:2000194</t>
  </si>
  <si>
    <t>https://cropontology.org/term/CO_356:3000132</t>
  </si>
  <si>
    <t>OIV:609</t>
  </si>
  <si>
    <t>2024-01-03T15:31:43.760658+01:00</t>
  </si>
  <si>
    <t>https://cropontology.org/term/CO_356:1000110</t>
  </si>
  <si>
    <t>MORPHO_OIV_610</t>
  </si>
  <si>
    <t>Mature leaf: angle between N3 and the tangent between petiole point and the tooth tip of N5, OIV:610</t>
  </si>
  <si>
    <t>Mature leaf: angle between N3 and the tangent between petiole point and the tooth tip of N5, OIV:610
Creator : Eric Duchene
Institution : INRAE</t>
  </si>
  <si>
    <t>https://cropontology.org/term/CO_356:2000068</t>
  </si>
  <si>
    <t>Mature leaf: angle between N3 and the tangent between petiole point 610</t>
  </si>
  <si>
    <t>https://cropontology.org/term/CO_356:3000133</t>
  </si>
  <si>
    <t>OIV:610</t>
  </si>
  <si>
    <t>2024-01-03T15:31:44.05647+01:00</t>
  </si>
  <si>
    <t>https://cropontology.org/term/CO_356:1000135</t>
  </si>
  <si>
    <t>MORPHO_OIV_611</t>
  </si>
  <si>
    <t>Mature leaf: length of vein N5</t>
  </si>
  <si>
    <t>Mature leaf: length of vein N5
Creator : Eric Duchene
Institution : INRAE</t>
  </si>
  <si>
    <t>https://cropontology.org/term/CO_356:2000084</t>
  </si>
  <si>
    <t>https://cropontology.org/term/CO_356:3000134</t>
  </si>
  <si>
    <t>OIV:611</t>
  </si>
  <si>
    <t>2024-01-03T15:31:44.405537+01:00</t>
  </si>
  <si>
    <t>https://cropontology.org/term/CO_356:1000128</t>
  </si>
  <si>
    <t>MORPHO_OIV_612</t>
  </si>
  <si>
    <t>Mature leaf: length of tooth N2</t>
  </si>
  <si>
    <t>Mature leaf: length of tooth N2
Creator : Eric Duchene
Institution : INRAE</t>
  </si>
  <si>
    <t>https://cropontology.org/term/CO_356:2000077</t>
  </si>
  <si>
    <t>https://cropontology.org/term/CO_356:3000135</t>
  </si>
  <si>
    <t>OIV:612</t>
  </si>
  <si>
    <t>2024-01-03T15:31:44.719283+01:00</t>
  </si>
  <si>
    <t>https://cropontology.org/term/CO_356:1000151</t>
  </si>
  <si>
    <t>MORPHO_OIV_613</t>
  </si>
  <si>
    <t>Mature leaf: width of tooth N2</t>
  </si>
  <si>
    <t>Mature leaf: width of tooth N2
Creator : Eric Duchene
Institution : INRAE</t>
  </si>
  <si>
    <t>https://cropontology.org/term/CO_356:2000207</t>
  </si>
  <si>
    <t>https://cropontology.org/term/CO_356:3000136</t>
  </si>
  <si>
    <t>OIV:613</t>
  </si>
  <si>
    <t>2024-01-03T15:31:45.050888+01:00</t>
  </si>
  <si>
    <t>https://cropontology.org/term/CO_356:1000129</t>
  </si>
  <si>
    <t>MORPHO_OIV_614</t>
  </si>
  <si>
    <t>Mature leaf: length of tooth N4</t>
  </si>
  <si>
    <t>Mature leaf: length of tooth N4
Creator : Eric Duchene
Institution : INRAE</t>
  </si>
  <si>
    <t>https://cropontology.org/term/CO_356:2000078</t>
  </si>
  <si>
    <t>https://cropontology.org/term/CO_356:3000137</t>
  </si>
  <si>
    <t>OIV:614</t>
  </si>
  <si>
    <t>2024-01-03T15:31:45.359685+01:00</t>
  </si>
  <si>
    <t>https://cropontology.org/term/CO_356:1000152</t>
  </si>
  <si>
    <t>MORPHO_OIV_615</t>
  </si>
  <si>
    <t>Mature leaf: width of tooth N4</t>
  </si>
  <si>
    <t>Mature leaf: width of tooth N4
Creator : Eric Duchene
Institution : INRAE</t>
  </si>
  <si>
    <t>https://cropontology.org/term/CO_356:2000209</t>
  </si>
  <si>
    <t>https://cropontology.org/term/CO_356:3000138</t>
  </si>
  <si>
    <t>OIV:615</t>
  </si>
  <si>
    <t>2024-01-03T15:31:45.659725+01:00</t>
  </si>
  <si>
    <t>https://cropontology.org/term/CO_356:1000137</t>
  </si>
  <si>
    <t>MORPHO_OIV_616</t>
  </si>
  <si>
    <t>Mature leaf: number of teeth between the tooth tip of N2 and the tooth tip of the first secondary vein of N2 including the limits</t>
  </si>
  <si>
    <t>Mature leaf: number of teeth between the tooth tip of N2 and the tooth tip of the first secondary vein of N2 including the limits
Creator : Eric Duchene
Institution : INRAE</t>
  </si>
  <si>
    <t>https://cropontology.org/term/CO_356:2000086</t>
  </si>
  <si>
    <t>https://cropontology.org/term/CO_356:3000139</t>
  </si>
  <si>
    <t>OIV:616</t>
  </si>
  <si>
    <t>2024-01-03T15:31:45.968921+01:00</t>
  </si>
  <si>
    <t>https://cropontology.org/term/CO_356:1000124</t>
  </si>
  <si>
    <t>MORPHO_OIV_617</t>
  </si>
  <si>
    <t>Mature leaf: length between the tooth tip of N2 and the tooth tip of the first secondary vein of N2</t>
  </si>
  <si>
    <t>Mature leaf: length between the tooth tip of N2 and the tooth tip of the first secondary vein of N2
Creator : Eric Duchene
Institution : INRAE</t>
  </si>
  <si>
    <t>https://cropontology.org/term/CO_356:2000073</t>
  </si>
  <si>
    <t>https://cropontology.org/term/CO_356:3000140</t>
  </si>
  <si>
    <t>OIV:617</t>
  </si>
  <si>
    <t>2024-01-03T15:31:46.319793+01:00</t>
  </si>
  <si>
    <t>https://cropontology.org/term/CO_356:1000138</t>
  </si>
  <si>
    <t>MORPHO_OIV_618</t>
  </si>
  <si>
    <t>Mature leaf: opening/overlapping of petiole sinus</t>
  </si>
  <si>
    <t>Mature leaf: opening/overlapping of petiole sinus
Creator : Eric Duchene
Institution : INRAE</t>
  </si>
  <si>
    <t>https://cropontology.org/term/CO_356:2000202</t>
  </si>
  <si>
    <t>https://cropontology.org/term/CO_356:3000141</t>
  </si>
  <si>
    <t>OIV:618</t>
  </si>
  <si>
    <t>2024-01-03T15:31:46.651323+01:00</t>
  </si>
  <si>
    <t>https://cropontology.org/term/CO_356:1000014</t>
  </si>
  <si>
    <t>MUST_ANTHO</t>
  </si>
  <si>
    <t>Must Anthocyanins content</t>
  </si>
  <si>
    <t>Must Anthocyanins content
Creator : Eric Duchene
Institution : INRAE</t>
  </si>
  <si>
    <t>https://cropontology.org/term/CO_356:2000230</t>
  </si>
  <si>
    <t>Anthocyanins (must)</t>
  </si>
  <si>
    <t>gao:50051</t>
  </si>
  <si>
    <t>must</t>
  </si>
  <si>
    <t>https://cropontology.org/term/CO_356:3000179</t>
  </si>
  <si>
    <t>HPLC_for_9_anthocyanins (OIV)</t>
  </si>
  <si>
    <t>2024-01-03T15:31:46.964578+01:00</t>
  </si>
  <si>
    <t>https://cropontology.org/term/CO_356:1000049</t>
  </si>
  <si>
    <t>MUST_BTERP</t>
  </si>
  <si>
    <t>Must Concentration of bound terpenols</t>
  </si>
  <si>
    <t>Must Concentration of bound terpenols
Creator : Eric Duchene
Institution : INRAE</t>
  </si>
  <si>
    <t>https://cropontology.org/term/CO_356:2000030</t>
  </si>
  <si>
    <t>Concentration of bound terpenols</t>
  </si>
  <si>
    <t>UO:0000301</t>
  </si>
  <si>
    <t>microg/l</t>
  </si>
  <si>
    <t>2024-01-03T15:31:47.27951+01:00</t>
  </si>
  <si>
    <t>https://cropontology.org/term/CO_356:1000317</t>
  </si>
  <si>
    <t>MUST_CALCIUM</t>
  </si>
  <si>
    <t>Calcium concentration in the must (atomic absoption, mg/l)</t>
  </si>
  <si>
    <t>Calcium concentration in the must (atomic absoption, mg/l)
Creator : Eric Duchene
Institution : INRAE</t>
  </si>
  <si>
    <t>https://cropontology.org/term/CO_356:2000245</t>
  </si>
  <si>
    <t>Must: calcium concentration</t>
  </si>
  <si>
    <t>https://cropontology.org/term/CO_356:3000264</t>
  </si>
  <si>
    <t>Atomic absorption spectrometry</t>
  </si>
  <si>
    <t>2024-01-03T15:31:47.607501+01:00</t>
  </si>
  <si>
    <t>https://cropontology.org/term/CO_356:1000321</t>
  </si>
  <si>
    <t>MUST_DENSITY</t>
  </si>
  <si>
    <t>Density of the must (g/dm3)</t>
  </si>
  <si>
    <t>Density of the must (g/dm3)
Creator : Eric Duchene
Institution : INRAE</t>
  </si>
  <si>
    <t>https://cropontology.org/term/CO_356:2000249</t>
  </si>
  <si>
    <t>Must: density</t>
  </si>
  <si>
    <t>vitioeno:id/variable/characteristic.density</t>
  </si>
  <si>
    <t>density</t>
  </si>
  <si>
    <t>https://cropontology.org/term/CO_356:3000267</t>
  </si>
  <si>
    <t>Density - Volumetric mass density - electronic</t>
  </si>
  <si>
    <t>2024-01-03T15:31:47.908898+01:00</t>
  </si>
  <si>
    <t>https://cropontology.org/term/CO_356:1000235</t>
  </si>
  <si>
    <t>MUST_DO280</t>
  </si>
  <si>
    <t>Must Total Phenolic Content (DO 280)</t>
  </si>
  <si>
    <t>Must Total Phenolic Content (DO 280)
Creator : Eric Duchene
Institution : INRAE</t>
  </si>
  <si>
    <t>2024-01-03T15:31:48.227218+01:00</t>
  </si>
  <si>
    <t>https://cropontology.org/term/CO_356:1000070</t>
  </si>
  <si>
    <t>MUST_DO420</t>
  </si>
  <si>
    <t>Optical density at 420 nm of the must</t>
  </si>
  <si>
    <t>Optical density at 420 nm of the must
Creator : Eric Duchene
Institution : INRAE</t>
  </si>
  <si>
    <t>https://cropontology.org/term/CO_356:2000047</t>
  </si>
  <si>
    <t>OD 420</t>
  </si>
  <si>
    <t>2024-01-03T15:31:48.544399+01:00</t>
  </si>
  <si>
    <t>https://cropontology.org/term/CO_356:1000072</t>
  </si>
  <si>
    <t>MUST_DO520</t>
  </si>
  <si>
    <t>Optical density at 520 nm of the must</t>
  </si>
  <si>
    <t>Optical density at 520 nm of the must
Creator : Eric Duchene
Institution : INRAE</t>
  </si>
  <si>
    <t>https://cropontology.org/term/CO_356:2000048</t>
  </si>
  <si>
    <t>OD 520</t>
  </si>
  <si>
    <t>2024-01-03T15:31:48.862189+01:00</t>
  </si>
  <si>
    <t>https://cropontology.org/term/CO_356:1000074</t>
  </si>
  <si>
    <t>MUST_DO620</t>
  </si>
  <si>
    <t>Optical density at 620 nm of the must</t>
  </si>
  <si>
    <t>Optical density at 620 nm of the must
Creator : Eric Duchene
Institution : INRAE</t>
  </si>
  <si>
    <t>https://cropontology.org/term/CO_356:2000049</t>
  </si>
  <si>
    <t>OD 620</t>
  </si>
  <si>
    <t>2024-01-03T15:31:49.188115+01:00</t>
  </si>
  <si>
    <t>https://cropontology.org/term/CO_356:1000062</t>
  </si>
  <si>
    <t>MUST_FTERP</t>
  </si>
  <si>
    <t>Must Concentration of free terpenols</t>
  </si>
  <si>
    <t>Must Concentration of free terpenols
Creator : Eric Duchene
Institution : INRAE</t>
  </si>
  <si>
    <t>https://cropontology.org/term/CO_356:2000041</t>
  </si>
  <si>
    <t>Concentration of free terpenols</t>
  </si>
  <si>
    <t>2024-01-03T15:31:49.496789+01:00</t>
  </si>
  <si>
    <t>https://cropontology.org/term/CO_356:1000188</t>
  </si>
  <si>
    <t>MUST_K</t>
  </si>
  <si>
    <t>Must Potassium concentration (flame spec.)</t>
  </si>
  <si>
    <t>Must Potassium concentration (flame spec.)
Creator : Eric Duchene
Institution : INRAE</t>
  </si>
  <si>
    <t>2024-01-03T15:31:49.811198+01:00</t>
  </si>
  <si>
    <t>https://cropontology.org/term/CO_356:1000296</t>
  </si>
  <si>
    <t>MUST_K_IC</t>
  </si>
  <si>
    <t>Potassium concentration of the must (IC-HPLC, mg/l)</t>
  </si>
  <si>
    <t>Potassium concentration of the must (IC-HPLC, mg/l)
Creator : Eric Duchene
Institution : INRAE</t>
  </si>
  <si>
    <t>2024-01-03T15:31:50.249172+01:00</t>
  </si>
  <si>
    <t>https://cropontology.org/term/CO_356:1000304</t>
  </si>
  <si>
    <t>MUST_MAL_CapI_g</t>
  </si>
  <si>
    <t>Malic acid concentration of the must (Cap. electro., g/l)</t>
  </si>
  <si>
    <t>Malic acid concentration of the must (Cap. electro., g/l)
Creator : Eric Duchene
Institution : INRAE</t>
  </si>
  <si>
    <t>https://cropontology.org/term/CO_356:2000235</t>
  </si>
  <si>
    <t>Must: malic acid concentration</t>
  </si>
  <si>
    <t>https://cropontology.org/term/CO_356:3000262</t>
  </si>
  <si>
    <t>Capillary electrophoresis</t>
  </si>
  <si>
    <t>2024-01-03T15:31:50.550456+01:00</t>
  </si>
  <si>
    <t>https://cropontology.org/term/CO_356:1000291</t>
  </si>
  <si>
    <t>MUST_MAL_g</t>
  </si>
  <si>
    <t>Malic acid concentration of the must (Enzym., g/l)</t>
  </si>
  <si>
    <t>Malic acid concentration of the must (Enzym., g/l)
Creator : Eric Duchene
Institution : INRAE</t>
  </si>
  <si>
    <t>2024-01-03T15:31:50.865245+01:00</t>
  </si>
  <si>
    <t>https://cropontology.org/term/CO_356:1000294</t>
  </si>
  <si>
    <t>MUST_MAL_HPLC_g</t>
  </si>
  <si>
    <t>Malic acid concentration of the must (HPLC, g/l)</t>
  </si>
  <si>
    <t>Malic acid concentration of the must (HPLC, g/l)
Creator : Eric Duchene
Institution : INRAE</t>
  </si>
  <si>
    <t>2024-01-03T15:31:51.167397+01:00</t>
  </si>
  <si>
    <t>https://cropontology.org/term/CO_356:1000103</t>
  </si>
  <si>
    <t>MUST_MAL_meq</t>
  </si>
  <si>
    <t>Must Malic acid concentration</t>
  </si>
  <si>
    <t>Must Malic acid concentration
Creator : Eric Duchene
Institution : INRAE</t>
  </si>
  <si>
    <t>2024-01-03T15:31:51.494113+01:00</t>
  </si>
  <si>
    <t>https://cropontology.org/term/CO_356:1000354</t>
  </si>
  <si>
    <t>MUST_N_AA</t>
  </si>
  <si>
    <t>Must nitrogen content (amino acids, col., mg/l)</t>
  </si>
  <si>
    <t>Must nitrogen content (amino acids, col., mg/l)
Creator : Eric Duchene
Institution : INRAE</t>
  </si>
  <si>
    <t>https://cropontology.org/term/CO_356:2000281</t>
  </si>
  <si>
    <t>Must nitrogen content (amino acids)</t>
  </si>
  <si>
    <t>2024-01-03T15:31:51.801648+01:00</t>
  </si>
  <si>
    <t>https://cropontology.org/term/CO_356:1000355</t>
  </si>
  <si>
    <t>MUST_N_AA&amp;NH4</t>
  </si>
  <si>
    <t>Nitrohen content of the must (sum of N-NH4 and N-amino ac.)</t>
  </si>
  <si>
    <t>Nitrohen content of the must (sum of N-NH4 and N-amino ac.)
Creator : Eric Duchene
Institution : INRAE</t>
  </si>
  <si>
    <t>https://cropontology.org/term/CO_356:2000246</t>
  </si>
  <si>
    <t>Must: total nitrogen content</t>
  </si>
  <si>
    <t>vitioeno:id/variable/characteristic.total_nitrogen_content</t>
  </si>
  <si>
    <t>total nitrogen content</t>
  </si>
  <si>
    <t>2024-01-03T15:31:52.117476+01:00</t>
  </si>
  <si>
    <t>https://cropontology.org/term/CO_356:1000324</t>
  </si>
  <si>
    <t>MUST_N_NH4</t>
  </si>
  <si>
    <t>Nitrogen content (ammoniacal) of the must</t>
  </si>
  <si>
    <t>Nitrogen content (ammoniacal) of the must
Creator : Eric Duchene
Institution : INRAE</t>
  </si>
  <si>
    <t>https://cropontology.org/term/CO_356:2000252</t>
  </si>
  <si>
    <t>Must: nitrogen content (ammoniacal)</t>
  </si>
  <si>
    <t>2024-01-03T15:31:52.419142+01:00</t>
  </si>
  <si>
    <t>https://cropontology.org/term/CO_356:1000185</t>
  </si>
  <si>
    <t>MUST_pH</t>
  </si>
  <si>
    <t>Must pH</t>
  </si>
  <si>
    <t>Must pH
Creator : Eric Duchene
Institution : INRAE</t>
  </si>
  <si>
    <t>2024-01-03T15:31:52.753934+01:00</t>
  </si>
  <si>
    <t>https://cropontology.org/term/CO_356:1000153</t>
  </si>
  <si>
    <t>MUST_pH_OIV_508</t>
  </si>
  <si>
    <t>Must pH, OIV:508</t>
  </si>
  <si>
    <t>Must pH, OIV:508
Creator : Eric Duchene
Institution : INRAE</t>
  </si>
  <si>
    <t>https://cropontology.org/term/CO_356:2000094</t>
  </si>
  <si>
    <t>Must specific pH</t>
  </si>
  <si>
    <t>https://cropontology.org/term/CO_356:3000121</t>
  </si>
  <si>
    <t>OIV:508</t>
  </si>
  <si>
    <t>2024-01-03T15:31:53.111013+01:00</t>
  </si>
  <si>
    <t>https://cropontology.org/term/CO_356:1000319</t>
  </si>
  <si>
    <t>MUST_SO2_FREE</t>
  </si>
  <si>
    <t>Must: free SO2</t>
  </si>
  <si>
    <t>Must: free SO2
Creator : Eric Duchene
Institution : INRAE</t>
  </si>
  <si>
    <t>https://cropontology.org/term/CO_356:2000247</t>
  </si>
  <si>
    <t>Must: free SO2 concentration</t>
  </si>
  <si>
    <t>vitioeno:id/variable/characteristic.free_so2_concentration</t>
  </si>
  <si>
    <t>free SO2 concentration</t>
  </si>
  <si>
    <t>https://cropontology.org/term/CO_356:3000233</t>
  </si>
  <si>
    <t>Free SO2 analysis (Ripper method)</t>
  </si>
  <si>
    <t>2024-01-03T15:31:53.478052+01:00</t>
  </si>
  <si>
    <t>https://cropontology.org/term/CO_356:1000320</t>
  </si>
  <si>
    <t>MUST_SO2_TOT</t>
  </si>
  <si>
    <t>Must: total SO2</t>
  </si>
  <si>
    <t>Must: total SO2
Creator : Eric Duchene
Institution : INRAE</t>
  </si>
  <si>
    <t>https://cropontology.org/term/CO_356:2000248</t>
  </si>
  <si>
    <t>Must: total SO2 concentration</t>
  </si>
  <si>
    <t>vitioeno:id/variable/characteristic.total_so2_concentration</t>
  </si>
  <si>
    <t>total SO2 concentration</t>
  </si>
  <si>
    <t>https://cropontology.org/term/CO_356:3000234</t>
  </si>
  <si>
    <t>Total SO2 analysis (Ripper method)</t>
  </si>
  <si>
    <t>2024-01-03T15:31:53.826215+01:00</t>
  </si>
  <si>
    <t>https://cropontology.org/term/CO_356:1000218</t>
  </si>
  <si>
    <t>MUST_SUG_g</t>
  </si>
  <si>
    <t>Must Sugar concentration</t>
  </si>
  <si>
    <t>Must Sugar concentration
Creator : Eric Duchene
Institution : INRAE</t>
  </si>
  <si>
    <t>2024-01-03T15:31:54.154812+01:00</t>
  </si>
  <si>
    <t>https://cropontology.org/term/CO_356:1000219</t>
  </si>
  <si>
    <t>MUST_SUG_OIV_505</t>
  </si>
  <si>
    <t>Sugar content of must OIV descriptor, OIV:505</t>
  </si>
  <si>
    <t>Sugar content of must OIV descriptor, OIV:505
Creator : Eric Duchene
Institution : INRAE</t>
  </si>
  <si>
    <t>https://cropontology.org/term/CO_356:3000119</t>
  </si>
  <si>
    <t>OIV:505</t>
  </si>
  <si>
    <t>2024-01-03T15:31:54.528044+01:00</t>
  </si>
  <si>
    <t>https://cropontology.org/term/CO_356:1000293</t>
  </si>
  <si>
    <t>MUST_TA_H2SO4</t>
  </si>
  <si>
    <t>Must titratable acidity (eq g/l H2SO4)</t>
  </si>
  <si>
    <t>Must titratable acidity (eq g/l H2SO4)
Creator : Eric Duchene
Institution : INRAE</t>
  </si>
  <si>
    <t>https://cropontology.org/term/CO_356:2000158</t>
  </si>
  <si>
    <t>Must: titratable acidity</t>
  </si>
  <si>
    <t>2024-01-03T15:31:54.848427+01:00</t>
  </si>
  <si>
    <t>https://cropontology.org/term/CO_356:1000232</t>
  </si>
  <si>
    <t>MUST_TA_meq</t>
  </si>
  <si>
    <t>Must Titratable acidity</t>
  </si>
  <si>
    <t>Must Titratable acidity
Creator : Eric Duchene
Institution : INRAE</t>
  </si>
  <si>
    <t>2024-01-03T15:31:55.182841+01:00</t>
  </si>
  <si>
    <t>https://cropontology.org/term/CO_356:1000234</t>
  </si>
  <si>
    <t>MUST_TA_OIV_506</t>
  </si>
  <si>
    <t>Total acid content of must, OIV:506</t>
  </si>
  <si>
    <t>Total acid content of must, OIV:506
Creator : Eric Duchene
Institution : INRAE</t>
  </si>
  <si>
    <t>https://cropontology.org/term/CO_356:3000120</t>
  </si>
  <si>
    <t>OIV:506</t>
  </si>
  <si>
    <t>2024-01-03T15:31:55.492429+01:00</t>
  </si>
  <si>
    <t>https://cropontology.org/term/CO_356:1000305</t>
  </si>
  <si>
    <t>MUST_TART_CapI_g</t>
  </si>
  <si>
    <t>Tartaric acid concentration in the must (Cap. electro., g/l)</t>
  </si>
  <si>
    <t>Tartaric acid concentration in the must (Cap. electro., g/l)
Creator : Eric Duchene
Institution : INRAE</t>
  </si>
  <si>
    <t>https://cropontology.org/term/CO_356:2000237</t>
  </si>
  <si>
    <t>Must: tartaric acid concentration</t>
  </si>
  <si>
    <t>2024-01-03T15:31:55.812306+01:00</t>
  </si>
  <si>
    <t>https://cropontology.org/term/CO_356:1000292</t>
  </si>
  <si>
    <t>MUST_TART_g</t>
  </si>
  <si>
    <t>Tartaric acid concentration of the must (Metav.,g/l)</t>
  </si>
  <si>
    <t>Tartaric acid concentration of the must (Metav.,g/l)
Creator : Eric Duchene
Institution : INRAE</t>
  </si>
  <si>
    <t>2024-01-03T15:31:56.15966+01:00</t>
  </si>
  <si>
    <t>https://cropontology.org/term/CO_356:1000295</t>
  </si>
  <si>
    <t>MUST_TART_HPLC_g</t>
  </si>
  <si>
    <t>Tartaric acid concentration of the must (HPLC, g/l)</t>
  </si>
  <si>
    <t>Tartaric acid concentration of the must (HPLC, g/l)
Creator : Eric Duchene
Institution : INRAE</t>
  </si>
  <si>
    <t>2024-01-03T15:31:56.484941+01:00</t>
  </si>
  <si>
    <t>https://cropontology.org/term/CO_356:1000223</t>
  </si>
  <si>
    <t>MUST_TART_meq</t>
  </si>
  <si>
    <t>Must Tartaric acid concentration</t>
  </si>
  <si>
    <t>Must Tartaric acid concentration
Creator : Eric Duchene
Institution : INRAE</t>
  </si>
  <si>
    <t>2024-01-03T15:31:56.812488+01:00</t>
  </si>
  <si>
    <t>https://cropontology.org/term/CO_356:1000318</t>
  </si>
  <si>
    <t>MUST_TOTAL_N_Dumas</t>
  </si>
  <si>
    <t>Total nitrogen content of the must (Dumas method, mg/l)</t>
  </si>
  <si>
    <t>Total nitrogen content of the must (Dumas method, mg/l)
Creator : Eric Duchene
Institution : INRAE</t>
  </si>
  <si>
    <t>https://cropontology.org/term/CO_356:3000265</t>
  </si>
  <si>
    <t>Total nitrogen (Dumas' method)</t>
  </si>
  <si>
    <t>2024-01-03T15:31:57.134118+01:00</t>
  </si>
  <si>
    <t>https://cropontology.org/term/CO_356:1000058</t>
  </si>
  <si>
    <t>MUST_TOTTERP</t>
  </si>
  <si>
    <t>Must Concentration of free and bound terpenols</t>
  </si>
  <si>
    <t>Must Concentration of free and bound terpenols
Creator : Eric Duchene
Institution : INRAE</t>
  </si>
  <si>
    <t>https://cropontology.org/term/CO_356:2000038</t>
  </si>
  <si>
    <t>Concentration of free and bound terpenols</t>
  </si>
  <si>
    <t>2024-01-03T15:31:57.450056+01:00</t>
  </si>
  <si>
    <t>https://cropontology.org/term/CO_356:1000357</t>
  </si>
  <si>
    <t>MUST_TURBID</t>
  </si>
  <si>
    <t>Turbidity of the must</t>
  </si>
  <si>
    <t>Turbidity of the must
Creator : Eric Duchene
Institution : INRAE</t>
  </si>
  <si>
    <t>https://cropontology.org/term/CO_356:2000283</t>
  </si>
  <si>
    <t>vitioeno:id/variable/characteristic.turbidity</t>
  </si>
  <si>
    <t>Turbidity</t>
  </si>
  <si>
    <t>https://cropontology.org/term/CO_356:4000062</t>
  </si>
  <si>
    <t>NTU (nephelometric turbidity units)</t>
  </si>
  <si>
    <t>https://cropontology.org/term/CO_356:3000281</t>
  </si>
  <si>
    <t>Turbidimetry</t>
  </si>
  <si>
    <t>2024-01-03T15:31:57.784293+01:00</t>
  </si>
  <si>
    <t>https://cropontology.org/term/CO_356:1000154</t>
  </si>
  <si>
    <t>MUST_Y</t>
  </si>
  <si>
    <t>Must yield</t>
  </si>
  <si>
    <t>Must yield
Creator : Eric Duchene
Institution : INRAE</t>
  </si>
  <si>
    <t>https://cropontology.org/term/CO_356:2000095</t>
  </si>
  <si>
    <t>https://cropontology.org/term/CO_356:4000013</t>
  </si>
  <si>
    <t>l/kg</t>
  </si>
  <si>
    <t>https://cropontology.org/term/CO_356:3000190</t>
  </si>
  <si>
    <t>Must Yield Method</t>
  </si>
  <si>
    <t>2024-01-03T15:31:58.120217+01:00</t>
  </si>
  <si>
    <t>https://cropontology.org/term/CO_356:1000027</t>
  </si>
  <si>
    <t>MUST_Y_OIV_233</t>
  </si>
  <si>
    <t>Must yield, OIV:233</t>
  </si>
  <si>
    <t>Must yield, OIV:233
Creator : Eric Duchene
Institution : INRAE</t>
  </si>
  <si>
    <t>https://cropontology.org/term/CO_356:3000084</t>
  </si>
  <si>
    <t>OIV:233</t>
  </si>
  <si>
    <t>2024-01-03T15:31:58.455803+01:00</t>
  </si>
  <si>
    <t>https://cropontology.org/term/CO_356:1000270</t>
  </si>
  <si>
    <t>NB_BUDS_M2</t>
  </si>
  <si>
    <t>Number of buds left after pruning per m2</t>
  </si>
  <si>
    <t>Number of buds left after pruning per m2
Creator : Eric Duchene
Institution : INRAE</t>
  </si>
  <si>
    <t>https://cropontology.org/term/CO_356:2000097</t>
  </si>
  <si>
    <t>Number of buds left after pruning</t>
  </si>
  <si>
    <t>vitioeno:id/variable/characteristic.number_left_after_pruning_per_m2</t>
  </si>
  <si>
    <t>Number left after pruning per m2</t>
  </si>
  <si>
    <t>https://cropontology.org/term/CO_356:4000037</t>
  </si>
  <si>
    <t>/m2</t>
  </si>
  <si>
    <t>vitioeno:id/variable/entity.buds</t>
  </si>
  <si>
    <t>Buds</t>
  </si>
  <si>
    <t>2024-01-03T15:31:58.775213+01:00</t>
  </si>
  <si>
    <t>https://cropontology.org/term/CO_356:1000156</t>
  </si>
  <si>
    <t>NB_BUDS_PLANT</t>
  </si>
  <si>
    <t>Number of buds per plant left after pruning</t>
  </si>
  <si>
    <t>Number of buds per plant left after pruning
Creator : Eric Duchene
Institution : INRAE</t>
  </si>
  <si>
    <t>vitioeno:id/variable/characteristic.number_left_after_pruning_per_plant</t>
  </si>
  <si>
    <t>Number left after pruning per plant</t>
  </si>
  <si>
    <t>2024-01-03T15:31:59.200561+01:00</t>
  </si>
  <si>
    <t>https://cropontology.org/term/CO_356:1000157</t>
  </si>
  <si>
    <t>NB_CANES_PLANT</t>
  </si>
  <si>
    <t>Number of canes per plant</t>
  </si>
  <si>
    <t>Number of canes per plant
Creator : Eric Duchene
Institution : INRAE</t>
  </si>
  <si>
    <t>https://cropontology.org/term/CO_356:2000098</t>
  </si>
  <si>
    <t>Number of canes</t>
  </si>
  <si>
    <t>vitioeno:id/variable/characteristic.number_per_plant</t>
  </si>
  <si>
    <t>Number per plant</t>
  </si>
  <si>
    <t>vitioeno:id/variable/entity.canes</t>
  </si>
  <si>
    <t>Canes</t>
  </si>
  <si>
    <t>2024-01-03T15:31:59.48138+01:00</t>
  </si>
  <si>
    <t>https://cropontology.org/term/CO_356:1000271</t>
  </si>
  <si>
    <t>NB_CLUST_M2</t>
  </si>
  <si>
    <t>Number of clusters per m2</t>
  </si>
  <si>
    <t>Number of clusters per m2
Creator : Eric Duchene
Institution : INRAE</t>
  </si>
  <si>
    <t>https://cropontology.org/term/CO_356:2000099</t>
  </si>
  <si>
    <t>Number of clusters</t>
  </si>
  <si>
    <t>2024-01-03T15:31:59.797679+01:00</t>
  </si>
  <si>
    <t>https://cropontology.org/term/CO_356:1000158</t>
  </si>
  <si>
    <t>NB_CLUST_PLANT</t>
  </si>
  <si>
    <t>Number of clusters per plant</t>
  </si>
  <si>
    <t>Number of clusters per plant
Creator : Eric Duchene
Institution : INRAE</t>
  </si>
  <si>
    <t>2024-01-03T15:32:00.111797+01:00</t>
  </si>
  <si>
    <t>https://cropontology.org/term/CO_356:1000272</t>
  </si>
  <si>
    <t>NB_INFLO_ALL_M2</t>
  </si>
  <si>
    <t>Number of inflorescences (All) per m2</t>
  </si>
  <si>
    <t>Number of inflorescences (All) per m2
Creator : Eric Duchene
Institution : INRAE</t>
  </si>
  <si>
    <t>https://cropontology.org/term/CO_356:2000100</t>
  </si>
  <si>
    <t>Number of inflorescences (All)</t>
  </si>
  <si>
    <t>2024-01-03T15:32:00.441478+01:00</t>
  </si>
  <si>
    <t>https://cropontology.org/term/CO_356:1000159</t>
  </si>
  <si>
    <t>NB_INFLO_ALL_PLANT</t>
  </si>
  <si>
    <t>Number of inflorescences per plant</t>
  </si>
  <si>
    <t>Number of inflorescences per plant
Creator : Eric Duchene
Institution : INRAE</t>
  </si>
  <si>
    <t>2024-01-03T15:32:00.773728+01:00</t>
  </si>
  <si>
    <t>https://cropontology.org/term/CO_356:1000278</t>
  </si>
  <si>
    <t>NB_INFLO_I_M2</t>
  </si>
  <si>
    <t>Number of inflorescences on primary shoots per m2</t>
  </si>
  <si>
    <t>Number of inflorescences on primary shoots per m2
Creator : Eric Duchene
Institution : INRAE</t>
  </si>
  <si>
    <t>https://cropontology.org/term/CO_356:2000221</t>
  </si>
  <si>
    <t>Number of inflorescences on primary shoots</t>
  </si>
  <si>
    <t>2024-01-03T15:32:01.090158+01:00</t>
  </si>
  <si>
    <t>https://cropontology.org/term/CO_356:1000260</t>
  </si>
  <si>
    <t>NB_INFLO_I_PLANT</t>
  </si>
  <si>
    <t>Number of inflorescences on primary shoots per plant</t>
  </si>
  <si>
    <t>Number of inflorescences on primary shoots per plant
Creator : Eric Duchene
Institution : INRAE</t>
  </si>
  <si>
    <t>2024-01-03T15:32:01.403129+01:00</t>
  </si>
  <si>
    <t>https://cropontology.org/term/CO_356:1000279</t>
  </si>
  <si>
    <t>NB_INFLO_II_M2</t>
  </si>
  <si>
    <t>Number of inflorescences on secondary shoots per m2</t>
  </si>
  <si>
    <t>Number of inflorescences on secondary shoots per m2
Creator : Eric Duchene
Institution : INRAE</t>
  </si>
  <si>
    <t>https://cropontology.org/term/CO_356:2000223</t>
  </si>
  <si>
    <t>Number of inflorescences on secondary shoots</t>
  </si>
  <si>
    <t>2024-01-03T15:32:01.723095+01:00</t>
  </si>
  <si>
    <t>https://cropontology.org/term/CO_356:1000262</t>
  </si>
  <si>
    <t>NB_INFLO_II_PLANT</t>
  </si>
  <si>
    <t>Number of inflorescences on secundary shoots per plant</t>
  </si>
  <si>
    <t>Number of inflorescences on secundary shoots per plant
Creator : Eric Duchene
Institution : INRAE</t>
  </si>
  <si>
    <t>2024-01-03T15:32:02.053857+01:00</t>
  </si>
  <si>
    <t>https://cropontology.org/term/CO_356:1000280</t>
  </si>
  <si>
    <t>NB_INFLO_NCP_M2</t>
  </si>
  <si>
    <t>Number of inflorescences on non count positions per m2</t>
  </si>
  <si>
    <t>Number of inflorescences on non count positions per m2
Creator : Eric Duchene
Institution : INRAE</t>
  </si>
  <si>
    <t>https://cropontology.org/term/CO_356:2000224</t>
  </si>
  <si>
    <t>Number of inflorescences on non-count position</t>
  </si>
  <si>
    <t>2024-01-03T15:32:02.397247+01:00</t>
  </si>
  <si>
    <t>https://cropontology.org/term/CO_356:1000263</t>
  </si>
  <si>
    <t>NB_INFLO_NCP_PLANT</t>
  </si>
  <si>
    <t>Number of inflorescences on non-count positions per plant</t>
  </si>
  <si>
    <t>Number of inflorescences on non-count positions per plant
Creator : Eric Duchene
Institution : INRAE</t>
  </si>
  <si>
    <t>2024-01-03T15:32:02.791587+01:00</t>
  </si>
  <si>
    <t>https://cropontology.org/term/CO_356:1000281</t>
  </si>
  <si>
    <t>NB_INFLO_SPURS_M2</t>
  </si>
  <si>
    <t>Nb inflo. on spurs per m2</t>
  </si>
  <si>
    <t>Nb inflo. on spurs per m2
Creator : Eric Duchene
Institution : INRAE</t>
  </si>
  <si>
    <t>https://cropontology.org/term/CO_356:2000222</t>
  </si>
  <si>
    <t>Number of inflorescences on spurs</t>
  </si>
  <si>
    <t>2024-01-03T15:32:03.117375+01:00</t>
  </si>
  <si>
    <t>https://cropontology.org/term/CO_356:1000261</t>
  </si>
  <si>
    <t>NB_INFLO_SPURS_PLANT</t>
  </si>
  <si>
    <t>Number of inflorescences on spurs per plant</t>
  </si>
  <si>
    <t>Number of inflorescences on spurs per plant
Creator : Eric Duchene
Institution : INRAE</t>
  </si>
  <si>
    <t>2024-01-03T15:32:03.438023+01:00</t>
  </si>
  <si>
    <t>https://cropontology.org/term/CO_356:1000273</t>
  </si>
  <si>
    <t>NB_NCP_M2</t>
  </si>
  <si>
    <t>Number of non-count positions shoots per m2</t>
  </si>
  <si>
    <t>Number of non-count positions shoots per m2
Creator : Eric Duchene
Institution : INRAE</t>
  </si>
  <si>
    <t>https://cropontology.org/term/CO_356:2000102</t>
  </si>
  <si>
    <t>Number of shoots on non-count positions</t>
  </si>
  <si>
    <t>2024-01-03T15:32:03.755156+01:00</t>
  </si>
  <si>
    <t>https://cropontology.org/term/CO_356:1000164</t>
  </si>
  <si>
    <t>NB_NCP_PLANT</t>
  </si>
  <si>
    <t>Number of non-count positions shoots</t>
  </si>
  <si>
    <t>Number of non-count positions shoots
Creator : Eric Duchene
Institution : INRAE</t>
  </si>
  <si>
    <t>2024-01-03T15:32:04.080677+01:00</t>
  </si>
  <si>
    <t>https://cropontology.org/term/CO_356:1000165</t>
  </si>
  <si>
    <t>NB_PLANT_M2</t>
  </si>
  <si>
    <t>Number of plants per m2</t>
  </si>
  <si>
    <t>Number of plants per m2
Creator : Eric Duchene
Institution : INRAE</t>
  </si>
  <si>
    <t>https://cropontology.org/term/CO_356:2000103</t>
  </si>
  <si>
    <t>vitioeno:id/variable/characteristic.number_per_m2</t>
  </si>
  <si>
    <t>Number per m2</t>
  </si>
  <si>
    <t>2024-01-03T15:32:04.39531+01:00</t>
  </si>
  <si>
    <t>https://cropontology.org/term/CO_356:1000276</t>
  </si>
  <si>
    <t>NB_SBUDS_M2</t>
  </si>
  <si>
    <t>Number of sprouted buds per m2</t>
  </si>
  <si>
    <t>Number of sprouted buds per m2
Creator : Eric Duchene
Institution : INRAE</t>
  </si>
  <si>
    <t>https://cropontology.org/term/CO_356:2000105</t>
  </si>
  <si>
    <t>Number of sprouted buds</t>
  </si>
  <si>
    <t>vitioeno:id/variable/characteristic.number_of_sprouted_buds_per_m2</t>
  </si>
  <si>
    <t>2024-01-03T15:32:04.717901+01:00</t>
  </si>
  <si>
    <t>https://cropontology.org/term/CO_356:1000167</t>
  </si>
  <si>
    <t>NB_SBUDS_PLANT</t>
  </si>
  <si>
    <t>Number of sprouted buds
Creator : Eric Duchene
Institution : INRAE</t>
  </si>
  <si>
    <t>vitioeno:id/variable/characteristic.number_of_sprouted_buds</t>
  </si>
  <si>
    <t>2024-01-03T15:32:05.048123+01:00</t>
  </si>
  <si>
    <t>https://cropontology.org/term/CO_356:1000268</t>
  </si>
  <si>
    <t>NB_SHOOT_ALL_M2</t>
  </si>
  <si>
    <t>Number of shoots (all) per m2</t>
  </si>
  <si>
    <t>Number of shoots (all) per m2
Creator : Eric Duchene
Institution : INRAE</t>
  </si>
  <si>
    <t>https://cropontology.org/term/CO_356:2000229</t>
  </si>
  <si>
    <t>Number of shoots (all)</t>
  </si>
  <si>
    <t>2024-01-03T15:32:05.372644+01:00</t>
  </si>
  <si>
    <t>https://cropontology.org/term/CO_356:1000264</t>
  </si>
  <si>
    <t>NB_SHOOT_ALL_PLANT</t>
  </si>
  <si>
    <t>Total number of shoots per plant</t>
  </si>
  <si>
    <t>Total number of shoots per plant
Creator : Eric Duchene
Institution : INRAE</t>
  </si>
  <si>
    <t>https://cropontology.org/term/CO_356:2000225</t>
  </si>
  <si>
    <t>Total number of shoots</t>
  </si>
  <si>
    <t>2024-01-03T15:32:05.702075+01:00</t>
  </si>
  <si>
    <t>https://cropontology.org/term/CO_356:1000275</t>
  </si>
  <si>
    <t>NB_SHOOT_I_M2</t>
  </si>
  <si>
    <t>Number of primary shoots per m2</t>
  </si>
  <si>
    <t>Number of primary shoots per m2
Creator : Eric Duchene
Institution : INRAE</t>
  </si>
  <si>
    <t>https://cropontology.org/term/CO_356:2000104</t>
  </si>
  <si>
    <t>Number of primary shoots</t>
  </si>
  <si>
    <t>gao:20031</t>
  </si>
  <si>
    <t>primary shoot | rameau primaire</t>
  </si>
  <si>
    <t>2024-01-03T15:32:06.045646+01:00</t>
  </si>
  <si>
    <t>https://cropontology.org/term/CO_356:1000166</t>
  </si>
  <si>
    <t>NB_SHOOT_I_PLANT</t>
  </si>
  <si>
    <t>Number of primary shoots per plant</t>
  </si>
  <si>
    <t>Number of primary shoots per plant
Creator : Eric Duchene
Institution : INRAE</t>
  </si>
  <si>
    <t>2024-01-03T15:32:06.366155+01:00</t>
  </si>
  <si>
    <t>https://cropontology.org/term/CO_356:1000277</t>
  </si>
  <si>
    <t>NB_SHOOT_II_M2</t>
  </si>
  <si>
    <t>Number of secundary shoots per m2</t>
  </si>
  <si>
    <t>Number of secundary shoots per m2
Creator : Eric Duchene
Institution : INRAE</t>
  </si>
  <si>
    <t>https://cropontology.org/term/CO_356:2000107</t>
  </si>
  <si>
    <t>Number of secondary shoots</t>
  </si>
  <si>
    <t>gao:20032</t>
  </si>
  <si>
    <t>secondary shoot | rameau secondaire</t>
  </si>
  <si>
    <t>2024-01-03T15:32:06.682244+01:00</t>
  </si>
  <si>
    <t>https://cropontology.org/term/CO_356:1000170</t>
  </si>
  <si>
    <t>NB_SHOOT_II_PLANT</t>
  </si>
  <si>
    <t>Number of secundary shoots per plant</t>
  </si>
  <si>
    <t>Number of secundary shoots per plant
Creator : Eric Duchene
Institution : INRAE</t>
  </si>
  <si>
    <t>2024-01-03T15:32:07.039398+01:00</t>
  </si>
  <si>
    <t>https://cropontology.org/term/CO_356:1000282</t>
  </si>
  <si>
    <t>NB_SHOOTS_SPURS_M2</t>
  </si>
  <si>
    <t>Nb shoots on spurs per m2</t>
  </si>
  <si>
    <t>Nb shoots on spurs per m2
Creator : Eric Duchene
Institution : INRAE</t>
  </si>
  <si>
    <t>https://cropontology.org/term/CO_356:2000220</t>
  </si>
  <si>
    <t>Number of shoots on spurs</t>
  </si>
  <si>
    <t>vitioeno:id/variable/entity.shoot_on_spurs</t>
  </si>
  <si>
    <t>Shoot on spurs</t>
  </si>
  <si>
    <t>2024-01-03T15:32:07.549752+01:00</t>
  </si>
  <si>
    <t>https://cropontology.org/term/CO_356:1000259</t>
  </si>
  <si>
    <t>NB_SHOOTS_SPURS_PLANT</t>
  </si>
  <si>
    <t>Nb shoots on spurs</t>
  </si>
  <si>
    <t>Nb shoots on spurs
Creator : Eric Duchene
Institution : INRAE</t>
  </si>
  <si>
    <t>2024-01-03T15:32:08.015008+01:00</t>
  </si>
  <si>
    <t>https://cropontology.org/term/CO_356:1000341</t>
  </si>
  <si>
    <t>NBI-R</t>
  </si>
  <si>
    <t>Nitrogen balance indes (NBI-R, Multiplex research)</t>
  </si>
  <si>
    <t>Nitrogen balance indes (NBI-R, Multiplex research)
Creator : Eric Duchene
Institution : INRAE</t>
  </si>
  <si>
    <t>https://cropontology.org/term/CO_356:2000266</t>
  </si>
  <si>
    <t>Nitrogen balance index</t>
  </si>
  <si>
    <t>vitioeno:id/variable/characteristic.nitrogen_status</t>
  </si>
  <si>
    <t>Nitrogen status</t>
  </si>
  <si>
    <t>https://cropontology.org/term/CO_356:4000060</t>
  </si>
  <si>
    <t>Dimensionless</t>
  </si>
  <si>
    <t>https://cropontology.org/term/CO_356:3000279</t>
  </si>
  <si>
    <t>Nitrogen Balance Index (Multiplex Research Force-A)</t>
  </si>
  <si>
    <t>2024-01-03T15:32:08.304363+01:00</t>
  </si>
  <si>
    <t>https://cropontology.org/term/CO_356:1000337</t>
  </si>
  <si>
    <t>NDVI_PED</t>
  </si>
  <si>
    <t>NDVI (pedestrian)</t>
  </si>
  <si>
    <t>NDVI (pedestrian)
Creator : Eric Duchene
Institution : INRAE</t>
  </si>
  <si>
    <t>https://cropontology.org/term/CO_356:2000265</t>
  </si>
  <si>
    <t>NDVI</t>
  </si>
  <si>
    <t>vitioeno:id/variable/characteristic.ndvi</t>
  </si>
  <si>
    <t>https://cropontology.org/term/CO_356:3000276</t>
  </si>
  <si>
    <t>NDVI (pedestrian Greenseeker)</t>
  </si>
  <si>
    <t>2024-01-03T15:32:08.611665+01:00</t>
  </si>
  <si>
    <t>https://cropontology.org/term/CO_356:1000340</t>
  </si>
  <si>
    <t>NDVI_PROXI</t>
  </si>
  <si>
    <t>NDVI calculated with remote images (proxidetection)</t>
  </si>
  <si>
    <t>NDVI calculated with remote images (proxidetection)
Creator : Eric Duchene
Institution : INRAE</t>
  </si>
  <si>
    <t>https://cropontology.org/term/CO_356:3000278</t>
  </si>
  <si>
    <t>NDVI (Proxidetection)</t>
  </si>
  <si>
    <t>2024-01-03T15:32:08.932856+01:00</t>
  </si>
  <si>
    <t>https://cropontology.org/term/CO_356:1000338</t>
  </si>
  <si>
    <t>NDVI_TRACTOR</t>
  </si>
  <si>
    <t>NDVI measured by a Greenseeker on a tractor</t>
  </si>
  <si>
    <t>NDVI measured by a Greenseeker on a tractor
Creator : Eric Duchene
Institution : INRAE</t>
  </si>
  <si>
    <t>https://cropontology.org/term/CO_356:3000277</t>
  </si>
  <si>
    <t>NDVI (Greenseeker on tractor device)</t>
  </si>
  <si>
    <t>2024-01-03T15:32:09.265177+01:00</t>
  </si>
  <si>
    <t>https://cropontology.org/term/CO_356:1000342</t>
  </si>
  <si>
    <t>NFI</t>
  </si>
  <si>
    <t>NFI (Multiplex Research)</t>
  </si>
  <si>
    <t>NFI (Multiplex Research)
Creator : Eric Duchene
Institution : INRAE</t>
  </si>
  <si>
    <t>https://cropontology.org/term/CO_356:2000267</t>
  </si>
  <si>
    <t>NFI (Multiplex research)</t>
  </si>
  <si>
    <t>vitioeno:id/variable/entity.foliage</t>
  </si>
  <si>
    <t>Foliage</t>
  </si>
  <si>
    <t>https://cropontology.org/term/CO_356:3000280</t>
  </si>
  <si>
    <t>NFI (Multiplex Research Force A)</t>
  </si>
  <si>
    <t>2024-01-03T15:32:09.58885+01:00</t>
  </si>
  <si>
    <t>https://cropontology.org/term/CO_356:1000175</t>
  </si>
  <si>
    <t>NOBROT_BER_PC</t>
  </si>
  <si>
    <t>Percentage of berries with noble rot</t>
  </si>
  <si>
    <t>Percentage of berries with noble rot
Creator : Eric Duchene
Institution : INRAE</t>
  </si>
  <si>
    <t>https://cropontology.org/term/CO_356:2000112</t>
  </si>
  <si>
    <t>2024-01-03T15:32:09.908744+01:00</t>
  </si>
  <si>
    <t>https://cropontology.org/term/CO_356:1000155</t>
  </si>
  <si>
    <t>NOD_TENDRIL_1</t>
  </si>
  <si>
    <t>Node number of the first tendril above the cotyledon</t>
  </si>
  <si>
    <t>Node number of the first tendril above the cotyledon
Creator : Eric Duchene
Institution : INRAE</t>
  </si>
  <si>
    <t>https://cropontology.org/term/CO_356:2000096</t>
  </si>
  <si>
    <t>vitioeno:id/variable/characteristic.node_number</t>
  </si>
  <si>
    <t>Node number</t>
  </si>
  <si>
    <t>gao:20040</t>
  </si>
  <si>
    <t>vrille | tendril | apex | shoot tip</t>
  </si>
  <si>
    <t>2024-01-03T15:32:10.224096+01:00</t>
  </si>
  <si>
    <t>https://cropontology.org/term/CO_356:1000181</t>
  </si>
  <si>
    <t>OPEN_FLO_PC</t>
  </si>
  <si>
    <t>Percentage of open flowers</t>
  </si>
  <si>
    <t>Percentage of open flowers
Creator : Eric Duchene
Institution : INRAE</t>
  </si>
  <si>
    <t>https://cropontology.org/term/CO_356:2000118</t>
  </si>
  <si>
    <t>2024-01-03T15:32:10.538676+01:00</t>
  </si>
  <si>
    <t>https://cropontology.org/term/CO_356:1000183</t>
  </si>
  <si>
    <t>PER_SBU</t>
  </si>
  <si>
    <t>Percentage of sprouted buds</t>
  </si>
  <si>
    <t>Percentage of sprouted buds
Creator : Eric Duchene
Institution : INRAE</t>
  </si>
  <si>
    <t>https://cropontology.org/term/CO_356:2000120</t>
  </si>
  <si>
    <t>https://cropontology.org/term/CO_356:3000222</t>
  </si>
  <si>
    <t>Calculated_percentage</t>
  </si>
  <si>
    <t>2024-01-03T15:32:10.835059+01:00</t>
  </si>
  <si>
    <t>https://cropontology.org/term/CO_356:1000343</t>
  </si>
  <si>
    <t>PET_Bo_ICP</t>
  </si>
  <si>
    <t>Bore concentration in petioles (ICP-AES, mg/kg)</t>
  </si>
  <si>
    <t>Bore concentration in petioles (ICP-AES, mg/kg)
Creator : Eric Duchene
Institution : INRAE</t>
  </si>
  <si>
    <t>https://cropontology.org/term/CO_356:2000268</t>
  </si>
  <si>
    <t>Bore concentration in petioles</t>
  </si>
  <si>
    <t>vitioeno:id/variable/characteristic.bore_concentration</t>
  </si>
  <si>
    <t>Bore concentration</t>
  </si>
  <si>
    <t>gao:20014</t>
  </si>
  <si>
    <t>petiole | petiole</t>
  </si>
  <si>
    <t>https://cropontology.org/term/CO_356:3000275</t>
  </si>
  <si>
    <t>ICP-AES</t>
  </si>
  <si>
    <t>2024-01-03T15:32:11.237722+01:00</t>
  </si>
  <si>
    <t>https://cropontology.org/term/CO_356:1000344</t>
  </si>
  <si>
    <t>PET_Ca_ICP</t>
  </si>
  <si>
    <t>Calcium concentration in petioles (ICP-AES, g/100g)</t>
  </si>
  <si>
    <t>Calcium concentration in petioles (ICP-AES, g/100g)
Creator : Eric Duchene
Institution : INRAE</t>
  </si>
  <si>
    <t>https://cropontology.org/term/CO_356:2000269</t>
  </si>
  <si>
    <t>Calcium concentration in petioles</t>
  </si>
  <si>
    <t>https://cropontology.org/term/CO_356:4000061</t>
  </si>
  <si>
    <t>g/100g</t>
  </si>
  <si>
    <t>2024-01-03T15:32:11.592815+01:00</t>
  </si>
  <si>
    <t>https://cropontology.org/term/CO_356:1000345</t>
  </si>
  <si>
    <t>PET_Cu_ICP</t>
  </si>
  <si>
    <t>Copper concentration in petioles (ICP-AES, mg/kg)</t>
  </si>
  <si>
    <t>Copper concentration in petioles (ICP-AES, mg/kg)
Creator : Eric Duchene
Institution : INRAE</t>
  </si>
  <si>
    <t>https://cropontology.org/term/CO_356:2000270</t>
  </si>
  <si>
    <t>Copper concentration in petioles</t>
  </si>
  <si>
    <t>vitioeno:id/variable/characteristic.copper_concentration</t>
  </si>
  <si>
    <t>Copper concentration</t>
  </si>
  <si>
    <t>2024-01-03T15:32:11.947214+01:00</t>
  </si>
  <si>
    <t>https://cropontology.org/term/CO_356:1000346</t>
  </si>
  <si>
    <t>PET_Fe_ICP</t>
  </si>
  <si>
    <t>Iron concentration in petioles (ICP-AES, mg/kg)</t>
  </si>
  <si>
    <t>Iron concentration in petioles (ICP-AES, mg/kg)
Creator : Eric Duchene
Institution : INRAE</t>
  </si>
  <si>
    <t>https://cropontology.org/term/CO_356:2000271</t>
  </si>
  <si>
    <t>Iron concentration in petioles</t>
  </si>
  <si>
    <t>vitioeno:id/variable/characteristic.iron_concentration</t>
  </si>
  <si>
    <t>Iron concentration</t>
  </si>
  <si>
    <t>2024-01-03T15:32:12.251383+01:00</t>
  </si>
  <si>
    <t>https://cropontology.org/term/CO_356:1000333</t>
  </si>
  <si>
    <t>PET_K</t>
  </si>
  <si>
    <t>Potassium concentration in petioles (ICP-AES, g/100g)</t>
  </si>
  <si>
    <t>Potassium concentration in petioles (ICP-AES, g/100g)
Creator : Eric Duchene
Institution : INRAE</t>
  </si>
  <si>
    <t>https://cropontology.org/term/CO_356:2000261</t>
  </si>
  <si>
    <t>Petiole K concentration</t>
  </si>
  <si>
    <t>2024-01-03T15:32:12.587249+01:00</t>
  </si>
  <si>
    <t>https://cropontology.org/term/CO_356:1000334</t>
  </si>
  <si>
    <t>PET_Mg</t>
  </si>
  <si>
    <t>Magnesium concentration in petioles (ICP-AES, g/100g)</t>
  </si>
  <si>
    <t>Magnesium concentration in petioles (ICP-AES, g/100g)
Creator : Eric Duchene
Institution : INRAE</t>
  </si>
  <si>
    <t>https://cropontology.org/term/CO_356:2000262</t>
  </si>
  <si>
    <t>Petiole Mg concentration</t>
  </si>
  <si>
    <t>2024-01-03T15:32:12.934855+01:00</t>
  </si>
  <si>
    <t>https://cropontology.org/term/CO_356:1000347</t>
  </si>
  <si>
    <t>PET_Mn_ICP</t>
  </si>
  <si>
    <t>Manganese concentration in petioles (ICP-AES, mg/kg)</t>
  </si>
  <si>
    <t>Manganese concentration in petioles (ICP-AES, mg/kg)
Creator : Eric Duchene
Institution : INRAE</t>
  </si>
  <si>
    <t>https://cropontology.org/term/CO_356:2000272</t>
  </si>
  <si>
    <t>Manganese concentration in petioles</t>
  </si>
  <si>
    <t>vitioeno:id/variable/characteristic.manganese_concentration</t>
  </si>
  <si>
    <t>Manganese concentration</t>
  </si>
  <si>
    <t>2024-01-03T15:32:13.250124+01:00</t>
  </si>
  <si>
    <t>https://cropontology.org/term/CO_356:1000348</t>
  </si>
  <si>
    <t>PET_N_Dumas</t>
  </si>
  <si>
    <t>Nitrogen concentration in petioles (Dumas, g/100g)</t>
  </si>
  <si>
    <t>Nitrogen concentration in petioles (Dumas, g/100g)
Creator : Eric Duchene
Institution : INRAE</t>
  </si>
  <si>
    <t>https://cropontology.org/term/CO_356:2000273</t>
  </si>
  <si>
    <t>Nitrogen concentration in petioles</t>
  </si>
  <si>
    <t>vitioeno:id/variable/characteristic.nitrogen_concentration</t>
  </si>
  <si>
    <t>Nitrogen concentration</t>
  </si>
  <si>
    <t>2024-01-03T15:32:13.584986+01:00</t>
  </si>
  <si>
    <t>https://cropontology.org/term/CO_356:1000349</t>
  </si>
  <si>
    <t>PET_P_ICP</t>
  </si>
  <si>
    <t>Phosporus concentration in petioles (ICP-AES, mg/kg)</t>
  </si>
  <si>
    <t>Phosporus concentration in petioles (ICP-AES, mg/kg)
Creator : Eric Duchene
Institution : INRAE</t>
  </si>
  <si>
    <t>https://cropontology.org/term/CO_356:2000274</t>
  </si>
  <si>
    <t>Phosporus concentration in petioles</t>
  </si>
  <si>
    <t>vitioeno:id/variable/characteristic.phosphorus_concentration</t>
  </si>
  <si>
    <t>Phosphorus concentration</t>
  </si>
  <si>
    <t>2024-01-03T15:32:13.921725+01:00</t>
  </si>
  <si>
    <t>https://cropontology.org/term/CO_356:1000350</t>
  </si>
  <si>
    <t>PET_Zn_ICP</t>
  </si>
  <si>
    <t>Zinc concentration in petioles (ICP-AES, mg/kg)</t>
  </si>
  <si>
    <t>Zinc concentration in petioles (ICP-AES, mg/kg)
Creator : Eric Duchene
Institution : INRAE</t>
  </si>
  <si>
    <t>https://cropontology.org/term/CO_356:2000275</t>
  </si>
  <si>
    <t>Zinc concentration in petioles</t>
  </si>
  <si>
    <t>vitioeno:id/variable/characteristic.zinc_concentration</t>
  </si>
  <si>
    <t>Zinc concentration</t>
  </si>
  <si>
    <t>2024-01-03T15:32:14.248801+01:00</t>
  </si>
  <si>
    <t>https://cropontology.org/term/CO_356:1000067</t>
  </si>
  <si>
    <t>PHYLLOX_LEAF_OIV_461</t>
  </si>
  <si>
    <t>Degree of tolerance to Phylloxera (leaf)</t>
  </si>
  <si>
    <t>Degree of tolerance to Phylloxera (leaf)
Creator : Eric Duchene
Institution : INRAE</t>
  </si>
  <si>
    <t>https://cropontology.org/term/CO_356:2000045</t>
  </si>
  <si>
    <t>Tolerance to Phylloxera (Leaf)</t>
  </si>
  <si>
    <t>vitioeno:set/variables#characteristic.phylloxera</t>
  </si>
  <si>
    <t>Tolerance to Phylloxera</t>
  </si>
  <si>
    <t>https://cropontology.org/term/CO_356:3000116</t>
  </si>
  <si>
    <t>OIV:461</t>
  </si>
  <si>
    <t>2024-01-03T15:32:14.597412+01:00</t>
  </si>
  <si>
    <t>https://cropontology.org/term/CO_356:1000542</t>
  </si>
  <si>
    <t>PHYLLOX_LEAF_SUSCEP_VATE</t>
  </si>
  <si>
    <t>Susceptibility to Phylloxera (Leaves VATE/SI)</t>
  </si>
  <si>
    <t>Susceptibility to Phylloxera (Leaves VATE/SI)
Creator : Eric Duchene
Institution : INRAE</t>
  </si>
  <si>
    <t>https://cropontology.org/term/CO_356:2000289</t>
  </si>
  <si>
    <t>Susceptibility to phylloxera (leaves)</t>
  </si>
  <si>
    <t>vitioeno:id/variable/characteristic.susceptibility_to_phylloxera</t>
  </si>
  <si>
    <t>Susceptibility to Phylloxera</t>
  </si>
  <si>
    <t>2024-01-03T15:32:39.86898+01:00</t>
  </si>
  <si>
    <t>https://cropontology.org/term/CO_356:1000068</t>
  </si>
  <si>
    <t>PHYLLOX_ROOT_OIV_462</t>
  </si>
  <si>
    <t>Degree of tolerance to Phylloxera (root)</t>
  </si>
  <si>
    <t>Degree of tolerance to Phylloxera (root)
Creator : Eric Duchene
Institution : INRAE</t>
  </si>
  <si>
    <t>https://cropontology.org/term/CO_356:2000218</t>
  </si>
  <si>
    <t>Tolerance to Phylloxera (Root)</t>
  </si>
  <si>
    <t>gao:40010</t>
  </si>
  <si>
    <t>racine | root</t>
  </si>
  <si>
    <t>https://cropontology.org/term/CO_356:3000117</t>
  </si>
  <si>
    <t>OIV:462</t>
  </si>
  <si>
    <t>2024-01-03T15:32:14.935838+01:00</t>
  </si>
  <si>
    <t>https://cropontology.org/term/CO_356:1000172</t>
  </si>
  <si>
    <t>PM_BER_PC</t>
  </si>
  <si>
    <t>Percentage of berries destroyed by Downy Mildew</t>
  </si>
  <si>
    <t>Percentage of berries destroyed by Downy Mildew
Creator : Eric Duchene
Institution : INRAE</t>
  </si>
  <si>
    <t>https://cropontology.org/term/CO_356:2000109</t>
  </si>
  <si>
    <t>vitioeno:id/variable/characteristic.percentage_destroyed_by_downy_mildew</t>
  </si>
  <si>
    <t>Percentage destroyed by Downy Mildew</t>
  </si>
  <si>
    <t>2024-01-03T15:32:15.294737+01:00</t>
  </si>
  <si>
    <t>https://cropontology.org/term/CO_356:1000047</t>
  </si>
  <si>
    <t>PM_CLUS_OIV_453</t>
  </si>
  <si>
    <t>Cluster: degree of resistance to Plasmopara</t>
  </si>
  <si>
    <t>Cluster: degree of resistance to Plasmopara
Creator : Eric Duchene
Institution : INRAE</t>
  </si>
  <si>
    <t>https://cropontology.org/term/CO_356:2000186</t>
  </si>
  <si>
    <t>Resistance to Plasmopara (Cluster)</t>
  </si>
  <si>
    <t>https://cropontology.org/term/CO_356:3000108</t>
  </si>
  <si>
    <t>OIV:453</t>
  </si>
  <si>
    <t>2024-01-03T15:32:15.626655+01:00</t>
  </si>
  <si>
    <t>https://cropontology.org/term/CO_356:1000099</t>
  </si>
  <si>
    <t>PM_LEAF_OIV_452</t>
  </si>
  <si>
    <t>Leaf: degree of resistance to Plasmopara</t>
  </si>
  <si>
    <t>Leaf: degree of resistance to Plasmopara
Creator : Eric Duchene
Institution : INRAE</t>
  </si>
  <si>
    <t>https://cropontology.org/term/CO_356:3000106</t>
  </si>
  <si>
    <t>OIV:452</t>
  </si>
  <si>
    <t>2024-01-03T15:32:15.989477+01:00</t>
  </si>
  <si>
    <t>https://cropontology.org/term/CO_356:1000220</t>
  </si>
  <si>
    <t>PM_LEAF_PC</t>
  </si>
  <si>
    <t>Surface of foliage attacked by Downy Mildew</t>
  </si>
  <si>
    <t>Surface of foliage attacked by Downy Mildew
Creator : Eric Duchene
Institution : INRAE</t>
  </si>
  <si>
    <t>https://cropontology.org/term/CO_356:2000148</t>
  </si>
  <si>
    <t>https://cropontology.org/term/CO_356:3000224</t>
  </si>
  <si>
    <t>Visual_percentage_surface</t>
  </si>
  <si>
    <t>2024-01-03T15:32:16.316362+01:00</t>
  </si>
  <si>
    <t>https://cropontology.org/term/CO_356:1000100</t>
  </si>
  <si>
    <t>PM_LEAFDISK_OIV_452-1</t>
  </si>
  <si>
    <t>Leaf: degree of resistance to Plasmopara (leaf disc test), OIV:452-1</t>
  </si>
  <si>
    <t>Leaf: degree of resistance to Plasmopara (leaf disc test), OIV:452-1
Creator : Eric Duchene
Institution : INRAE</t>
  </si>
  <si>
    <t>https://cropontology.org/term/CO_356:3000107</t>
  </si>
  <si>
    <t>OIV:452-1</t>
  </si>
  <si>
    <t>2024-01-03T15:32:16.636876+01:00</t>
  </si>
  <si>
    <t>https://cropontology.org/term/CO_356:1000290</t>
  </si>
  <si>
    <t>PRUN_FW_M2</t>
  </si>
  <si>
    <t>Pruning fresh weight per m2</t>
  </si>
  <si>
    <t>Pruning fresh weight per m2
Creator : Eric Duchene
Institution : INRAE</t>
  </si>
  <si>
    <t>https://cropontology.org/term/CO_356:2000123</t>
  </si>
  <si>
    <t>Pruning fresh weight</t>
  </si>
  <si>
    <t>https://cropontology.org/term/CO_356:4000058</t>
  </si>
  <si>
    <t>kg/m2</t>
  </si>
  <si>
    <t>https://cropontology.org/term/CO_356:3000225</t>
  </si>
  <si>
    <t>PruningW_balance</t>
  </si>
  <si>
    <t>2024-01-03T15:32:17.108184+01:00</t>
  </si>
  <si>
    <t>https://cropontology.org/term/CO_356:1000190</t>
  </si>
  <si>
    <t>PRUN_FW_PLANT</t>
  </si>
  <si>
    <t>Pruning fresh weight per plant</t>
  </si>
  <si>
    <t>Pruning fresh weight per plant
Creator : Eric Duchene
Institution : INRAE</t>
  </si>
  <si>
    <t>https://cropontology.org/term/CO_356:4000020</t>
  </si>
  <si>
    <t>kg/plant</t>
  </si>
  <si>
    <t>2024-01-03T15:32:17.405118+01:00</t>
  </si>
  <si>
    <t>https://cropontology.org/term/CO_356:1000051</t>
  </si>
  <si>
    <t>PULP_BTERP</t>
  </si>
  <si>
    <t>Concentration of bound terpenols in the pulp</t>
  </si>
  <si>
    <t>Concentration of bound terpenols in the pulp
Creator : Eric Duchene
Institution : INRAE</t>
  </si>
  <si>
    <t>https://cropontology.org/term/CO_356:2000031</t>
  </si>
  <si>
    <t>vitioeno:id/variable/entity.berry_pulp</t>
  </si>
  <si>
    <t>Berry pulp</t>
  </si>
  <si>
    <t>2024-01-03T15:32:17.719537+01:00</t>
  </si>
  <si>
    <t>https://cropontology.org/term/CO_356:1000064</t>
  </si>
  <si>
    <t>PULP_FTREP</t>
  </si>
  <si>
    <t>Concentration of free terpenols in the pulp</t>
  </si>
  <si>
    <t>Concentration of free terpenols in the pulp
Creator : Eric Duchene
Institution : INRAE</t>
  </si>
  <si>
    <t>https://cropontology.org/term/CO_356:2000042</t>
  </si>
  <si>
    <t>2024-01-03T15:32:18.042016+01:00</t>
  </si>
  <si>
    <t>https://cropontology.org/term/CO_356:1000060</t>
  </si>
  <si>
    <t>PULP_TOTTERP</t>
  </si>
  <si>
    <t>Concentration of free and bound terpenols in the pulp</t>
  </si>
  <si>
    <t>Concentration of free and bound terpenols in the pulp
Creator : Eric Duchene
Institution : INRAE</t>
  </si>
  <si>
    <t>https://cropontology.org/term/CO_356:2000039</t>
  </si>
  <si>
    <t>2024-01-03T15:32:18.348987+01:00</t>
  </si>
  <si>
    <t>https://cropontology.org/term/CO_356:1000191</t>
  </si>
  <si>
    <t>RES_CL_OIV_402</t>
  </si>
  <si>
    <t>Resistance to chlorides (salt)  OIV:402</t>
  </si>
  <si>
    <t>Resistance to chlorides (salt) 
Creator : Eric Duchene
Institution : INRAE</t>
  </si>
  <si>
    <t>https://cropontology.org/term/CO_356:2000124</t>
  </si>
  <si>
    <t>Resistance to chlorides</t>
  </si>
  <si>
    <t>vitioeno:set/variables#characteristic.resistance-to-chlorides</t>
  </si>
  <si>
    <t>https://cropontology.org/term/CO_356:3000104</t>
  </si>
  <si>
    <t>OIV:402</t>
  </si>
  <si>
    <t>2024-01-03T15:32:18.664065+01:00</t>
  </si>
  <si>
    <t>https://cropontology.org/term/CO_356:1000192</t>
  </si>
  <si>
    <t>RES_D_OIV_403</t>
  </si>
  <si>
    <t>Resistance to drought  OIV:403</t>
  </si>
  <si>
    <t>Resistance to drought
Creator : Eric Duchene
Institution : INRAE</t>
  </si>
  <si>
    <t>https://cropontology.org/term/CO_356:2000125</t>
  </si>
  <si>
    <t>Resistance to drought</t>
  </si>
  <si>
    <t>vitioeno:set/variables#characteristic.resistance-to-drought</t>
  </si>
  <si>
    <t>https://cropontology.org/term/CO_356:3000105</t>
  </si>
  <si>
    <t>OIV:403</t>
  </si>
  <si>
    <t>2024-01-03T15:32:18.993907+01:00</t>
  </si>
  <si>
    <t>https://cropontology.org/term/CO_356:1000193</t>
  </si>
  <si>
    <t>RES_IC_OIV_401</t>
  </si>
  <si>
    <t>Resistance to iron chlorosis  OIV:401</t>
  </si>
  <si>
    <t>Resistance to iron chlorosis
Creator : Eric Duchene
Institution : INRAE</t>
  </si>
  <si>
    <t>https://cropontology.org/term/CO_356:2000126</t>
  </si>
  <si>
    <t>Resistance to iron chlorosis</t>
  </si>
  <si>
    <t>vitioeno:set/variables#characteristic.resistance-to-iron-chlorosis</t>
  </si>
  <si>
    <t>https://cropontology.org/term/CO_356:3000103</t>
  </si>
  <si>
    <t>OIV:401</t>
  </si>
  <si>
    <t>2024-01-03T15:32:19.316805+01:00</t>
  </si>
  <si>
    <t>https://cropontology.org/term/CO_356:1000214</t>
  </si>
  <si>
    <t>SBER_VOL_mL</t>
  </si>
  <si>
    <t>Single berry volume (ml)</t>
  </si>
  <si>
    <t>Single berry volume (ml)
Creator : Eric Duchene
Institution : INRAE</t>
  </si>
  <si>
    <t>https://cropontology.org/term/CO_356:2000143</t>
  </si>
  <si>
    <t>Single berry volume</t>
  </si>
  <si>
    <t>vitioeno:set/variables#characteristic.volume</t>
  </si>
  <si>
    <t>Volume</t>
  </si>
  <si>
    <t>https://cropontology.org/term/CO_356:4000017</t>
  </si>
  <si>
    <t>ml</t>
  </si>
  <si>
    <t>https://cropontology.org/term/CO_356:3000226</t>
  </si>
  <si>
    <t>Berry_WaterVolume</t>
  </si>
  <si>
    <t>2024-01-03T15:32:19.692648+01:00</t>
  </si>
  <si>
    <t>https://cropontology.org/term/CO_356:1000215</t>
  </si>
  <si>
    <t>SBER_W_g</t>
  </si>
  <si>
    <t>Single berry weight</t>
  </si>
  <si>
    <t>Single berry weight
Creator : Eric Duchene
Institution : INRAE</t>
  </si>
  <si>
    <t>https://cropontology.org/term/CO_356:2000144</t>
  </si>
  <si>
    <t>https://cropontology.org/term/CO_356:4000006</t>
  </si>
  <si>
    <t>g</t>
  </si>
  <si>
    <t>https://cropontology.org/term/CO_356:3000227</t>
  </si>
  <si>
    <t>Weight_balance</t>
  </si>
  <si>
    <t>2024-01-03T15:32:20.012982+01:00</t>
  </si>
  <si>
    <t>https://cropontology.org/term/CO_356:1000030</t>
  </si>
  <si>
    <t>SBER_W_OIV_503</t>
  </si>
  <si>
    <t>Single berry weight, OIV:503</t>
  </si>
  <si>
    <t>Single berry weight, OIV:503
Creator : Eric Duchene
Institution : INRAE</t>
  </si>
  <si>
    <t>https://cropontology.org/term/CO_356:3000145</t>
  </si>
  <si>
    <t>OIV:503</t>
  </si>
  <si>
    <t>2024-01-03T15:32:20.345846+01:00</t>
  </si>
  <si>
    <t>https://cropontology.org/term/CO_356:1000048</t>
  </si>
  <si>
    <t>SCLUST_W_G</t>
  </si>
  <si>
    <t>Cluster weight</t>
  </si>
  <si>
    <t>Cluster weight
Creator : Eric Duchene
Institution : INRAE</t>
  </si>
  <si>
    <t>https://cropontology.org/term/CO_356:2000029</t>
  </si>
  <si>
    <t>Single cluster weight</t>
  </si>
  <si>
    <t>2024-01-03T15:32:20.71037+01:00</t>
  </si>
  <si>
    <t>https://cropontology.org/term/CO_356:1000044</t>
  </si>
  <si>
    <t>SCLUST_W_OIV_502</t>
  </si>
  <si>
    <t>Weight of a single bunch, OIV:502</t>
  </si>
  <si>
    <t>Weight of a single bunch, OIV:502
Creator : Eric Duchene
Institution : INRAE</t>
  </si>
  <si>
    <t>https://cropontology.org/term/CO_356:3000144</t>
  </si>
  <si>
    <t>OIV:502</t>
  </si>
  <si>
    <t>2024-01-03T15:32:21.010814+01:00</t>
  </si>
  <si>
    <t>https://cropontology.org/term/CO_356:1000169</t>
  </si>
  <si>
    <t>SEED_NB</t>
  </si>
  <si>
    <t>Number of seeds per berry</t>
  </si>
  <si>
    <t>Number of seeds per berry
Creator : Eric Duchene
Institution : INRAE</t>
  </si>
  <si>
    <t>https://cropontology.org/term/CO_356:2000106</t>
  </si>
  <si>
    <t>vitioeno:id/variable/characteristic.number_per_berry</t>
  </si>
  <si>
    <t>Number per berry</t>
  </si>
  <si>
    <t>gao:30110</t>
  </si>
  <si>
    <t>seed | pépin</t>
  </si>
  <si>
    <t>2024-01-03T15:32:21.3578+01:00</t>
  </si>
  <si>
    <t>https://cropontology.org/term/CO_356:1000225</t>
  </si>
  <si>
    <t>SENESC_OIV_306</t>
  </si>
  <si>
    <t>Autumn coloration of leaves</t>
  </si>
  <si>
    <t>Autumn coloration of leaves
Creator : Eric Duchene
Institution : INRAE</t>
  </si>
  <si>
    <t>https://cropontology.org/term/CO_356:2000151</t>
  </si>
  <si>
    <t>vitioeno:set/variables#characteristic.senescence</t>
  </si>
  <si>
    <t>Autumn coloration</t>
  </si>
  <si>
    <t>https://cropontology.org/term/CO_356:4000057</t>
  </si>
  <si>
    <t>S1_5:OIV_306</t>
  </si>
  <si>
    <t>https://cropontology.org/term/CO_356:3000098</t>
  </si>
  <si>
    <t>OIV:306</t>
  </si>
  <si>
    <t>2024-01-03T15:32:21.677159+01:00</t>
  </si>
  <si>
    <t>https://cropontology.org/term/CO_356:1000331</t>
  </si>
  <si>
    <t>SGBER_VOL</t>
  </si>
  <si>
    <t>Single green berry volume (ml)</t>
  </si>
  <si>
    <t>Single green berry volume (ml)
Creator : Eric Duchene
Institution : INRAE</t>
  </si>
  <si>
    <t>https://cropontology.org/term/CO_356:2000259</t>
  </si>
  <si>
    <t>Single green berry volume</t>
  </si>
  <si>
    <t>2024-01-03T15:32:22.006843+01:00</t>
  </si>
  <si>
    <t>https://cropontology.org/term/CO_356:1000336</t>
  </si>
  <si>
    <t>SGBER_W_g</t>
  </si>
  <si>
    <t>Single green berry weight (g)</t>
  </si>
  <si>
    <t>Single green berry weight (g)
Creator : Eric Duchene
Institution : INRAE</t>
  </si>
  <si>
    <t>https://cropontology.org/term/CO_356:2000264</t>
  </si>
  <si>
    <t>Single green berry weight</t>
  </si>
  <si>
    <t>vitioeno:id/variable/characteristic.weight</t>
  </si>
  <si>
    <t>Weight</t>
  </si>
  <si>
    <t>2024-01-03T15:32:22.33669+01:00</t>
  </si>
  <si>
    <t>https://cropontology.org/term/CO_356:1000204</t>
  </si>
  <si>
    <t>SHOOT_DIAM</t>
  </si>
  <si>
    <t>Shoot diameter</t>
  </si>
  <si>
    <t>Shoot diameter
Creator : Eric Duchene
Institution : INRAE</t>
  </si>
  <si>
    <t>https://cropontology.org/term/CO_356:2000135</t>
  </si>
  <si>
    <t>https://cropontology.org/term/CO_356:4000016</t>
  </si>
  <si>
    <t>mm</t>
  </si>
  <si>
    <t>https://cropontology.org/term/CO_356:3000230</t>
  </si>
  <si>
    <t>Diameter_Calliper</t>
  </si>
  <si>
    <t>2024-01-03T15:32:22.686583+01:00</t>
  </si>
  <si>
    <t>https://cropontology.org/term/CO_356:1000079</t>
  </si>
  <si>
    <t>SHOOT_DW</t>
  </si>
  <si>
    <t>Dry weight par shoot</t>
  </si>
  <si>
    <t>Dry weight par shoot
Creator : Eric Duchene
Institution : INRAE</t>
  </si>
  <si>
    <t>https://cropontology.org/term/CO_356:2000050</t>
  </si>
  <si>
    <t>Dry weight per shoot</t>
  </si>
  <si>
    <t>https://cropontology.org/term/CO_356:3000231</t>
  </si>
  <si>
    <t>SHOOT_DW Method</t>
  </si>
  <si>
    <t>2024-01-03T15:32:23.014622+01:00</t>
  </si>
  <si>
    <t>https://cropontology.org/term/CO_356:1000314</t>
  </si>
  <si>
    <t>SHOOT_EXCORIOSE</t>
  </si>
  <si>
    <t>Excoriose on shoots (VATE/SI protocol, 1-3 scale)</t>
  </si>
  <si>
    <t>Excoriose on shoots (VATE/SI protocol, 1-3 scale)
Creator : Eric Duchene
Institution : INRAE</t>
  </si>
  <si>
    <t>https://cropontology.org/term/CO_356:2000242</t>
  </si>
  <si>
    <t>Shoot: excoriose</t>
  </si>
  <si>
    <t>vitioeno:id/variable/characteristic.excoriose</t>
  </si>
  <si>
    <t>excoriose</t>
  </si>
  <si>
    <t>2024-01-03T15:32:23.343667+01:00</t>
  </si>
  <si>
    <t>https://cropontology.org/term/CO_356:1000240</t>
  </si>
  <si>
    <t>SHOOT_G_OIV_351</t>
  </si>
  <si>
    <t>Vigor of shoot growth, OIV:351</t>
  </si>
  <si>
    <t>Vigor of shoot growth, OIV:351
Creator : Eric Duchene
Institution : INRAE</t>
  </si>
  <si>
    <t>https://cropontology.org/term/CO_356:2000162</t>
  </si>
  <si>
    <t>Vigor of shoot growth</t>
  </si>
  <si>
    <t>vitioeno:set/variables#characteristic.growth</t>
  </si>
  <si>
    <t>https://cropontology.org/term/CO_356:3000099</t>
  </si>
  <si>
    <t>OIV:351</t>
  </si>
  <si>
    <t>2024-01-03T15:32:23.678236+01:00</t>
  </si>
  <si>
    <t>https://cropontology.org/term/CO_356:1000211</t>
  </si>
  <si>
    <t>SHOOT_L</t>
  </si>
  <si>
    <t>Shoot length</t>
  </si>
  <si>
    <t>Shoot length
Creator : Eric Duchene
Institution : INRAE</t>
  </si>
  <si>
    <t>https://cropontology.org/term/CO_356:2000140</t>
  </si>
  <si>
    <t>2024-01-03T15:32:24.006315+01:00</t>
  </si>
  <si>
    <t>https://cropontology.org/term/CO_356:1000052</t>
  </si>
  <si>
    <t>SKIN_BTERP</t>
  </si>
  <si>
    <t>Concentration of bound terpenols in the skins</t>
  </si>
  <si>
    <t>Concentration of bound terpenols in the skins
Creator : Eric Duchene
Institution : INRAE</t>
  </si>
  <si>
    <t>https://cropontology.org/term/CO_356:2000032</t>
  </si>
  <si>
    <t>gao:30052</t>
  </si>
  <si>
    <t>pellicule | berry skin</t>
  </si>
  <si>
    <t>2024-01-03T15:32:24.326448+01:00</t>
  </si>
  <si>
    <t>https://cropontology.org/term/CO_356:1000065</t>
  </si>
  <si>
    <t>SKIN_FTERP</t>
  </si>
  <si>
    <t>Concentration of free terpenols in the skins</t>
  </si>
  <si>
    <t>Concentration of free terpenols in the skins
Creator : Eric Duchene
Institution : INRAE</t>
  </si>
  <si>
    <t>https://cropontology.org/term/CO_356:2000043</t>
  </si>
  <si>
    <t>2024-01-03T15:32:24.629275+01:00</t>
  </si>
  <si>
    <t>https://cropontology.org/term/CO_356:1000061</t>
  </si>
  <si>
    <t>SKIN_TOTTERP</t>
  </si>
  <si>
    <t>Concentration of free and bound terpenols in the skins</t>
  </si>
  <si>
    <t>Concentration of free and bound terpenols in the skins
Creator : Eric Duchene
Institution : INRAE</t>
  </si>
  <si>
    <t>https://cropontology.org/term/CO_356:2000040</t>
  </si>
  <si>
    <t>2024-01-03T15:32:24.974607+01:00</t>
  </si>
  <si>
    <t>https://cropontology.org/term/CO_356:1000182</t>
  </si>
  <si>
    <t>SOFT_BER_PC</t>
  </si>
  <si>
    <t>Percentage of soft berries</t>
  </si>
  <si>
    <t>Percentage of soft berries
Creator : Eric Duchene
Institution : INRAE</t>
  </si>
  <si>
    <t>https://cropontology.org/term/CO_356:2000119</t>
  </si>
  <si>
    <t>https://cropontology.org/term/CO_356:3000235</t>
  </si>
  <si>
    <t>SOFT_BER_PC Method</t>
  </si>
  <si>
    <t>2024-01-03T15:32:25.291478+01:00</t>
  </si>
  <si>
    <t>https://cropontology.org/term/CO_356:1000332</t>
  </si>
  <si>
    <t>SPAD502</t>
  </si>
  <si>
    <t>Chlorophyll content of the leaves (Konica Minolta SPAD 502)</t>
  </si>
  <si>
    <t>Chlorophyll content of the leaves (Konica Minolta SPAD 502)
Creator : Eric Duchene
Institution : INRAE</t>
  </si>
  <si>
    <t>https://cropontology.org/term/CO_356:2000260</t>
  </si>
  <si>
    <t>Leaf chlorophyll content</t>
  </si>
  <si>
    <t>vitioeno:id/variable/characteristic.chlorophyll_content</t>
  </si>
  <si>
    <t>Chlorophyll content</t>
  </si>
  <si>
    <t>https://cropontology.org/term/CO_356:3000274</t>
  </si>
  <si>
    <t>Konica Minolta SPAD502</t>
  </si>
  <si>
    <t>2024-01-03T15:32:25.602076+01:00</t>
  </si>
  <si>
    <t>https://cropontology.org/term/CO_356:1000216</t>
  </si>
  <si>
    <t>SSEEDW_g</t>
  </si>
  <si>
    <t>Single seed weight</t>
  </si>
  <si>
    <t>Single seed weight
Creator : Eric Duchene
Institution : INRAE</t>
  </si>
  <si>
    <t>https://cropontology.org/term/CO_356:2000145</t>
  </si>
  <si>
    <t>https://cropontology.org/term/CO_356:4000018</t>
  </si>
  <si>
    <t>mg</t>
  </si>
  <si>
    <t>2024-01-03T15:32:26.045743+01:00</t>
  </si>
  <si>
    <t>https://cropontology.org/term/CO_356:1000239</t>
  </si>
  <si>
    <t>TSS</t>
  </si>
  <si>
    <t>Total soluble solids</t>
  </si>
  <si>
    <t>Total soluble solids
Creator : Eric Duchene
Institution : INRAE</t>
  </si>
  <si>
    <t>https://cropontology.org/term/CO_356:2000161</t>
  </si>
  <si>
    <t>https://cropontology.org/term/CO_356:4000019</t>
  </si>
  <si>
    <t>degreeBrix</t>
  </si>
  <si>
    <t>2024-01-03T15:32:26.347819+01:00</t>
  </si>
  <si>
    <t>https://cropontology.org/term/CO_356:1000176</t>
  </si>
  <si>
    <t>UN_BER_PC</t>
  </si>
  <si>
    <t>Percentage of berries with Powdery Mildew</t>
  </si>
  <si>
    <t>Percentage of berries with Powdery Mildew
Creator : Eric Duchene
Institution : INRAE</t>
  </si>
  <si>
    <t>https://cropontology.org/term/CO_356:2000113</t>
  </si>
  <si>
    <t>Percentage of berries with  powdery mildew</t>
  </si>
  <si>
    <t>vitioeno:set/variables#characteristic.powdery-mildew</t>
  </si>
  <si>
    <t>Percentage with Powdery Mildew</t>
  </si>
  <si>
    <t>2024-01-03T15:32:26.672855+01:00</t>
  </si>
  <si>
    <t>https://cropontology.org/term/CO_356:1000046</t>
  </si>
  <si>
    <t>UN_CLUST_OIV_456</t>
  </si>
  <si>
    <t>Cluster: degree of resistance to Oidium</t>
  </si>
  <si>
    <t>Cluster: degree of resistance to Oidium
Creator : Eric Duchene
Institution : INRAE</t>
  </si>
  <si>
    <t>https://cropontology.org/term/CO_356:2000185</t>
  </si>
  <si>
    <t>Resistance to Oidium (Cluster)</t>
  </si>
  <si>
    <t>https://cropontology.org/term/CO_356:3000111</t>
  </si>
  <si>
    <t>OIV:456</t>
  </si>
  <si>
    <t>2024-01-03T15:32:26.987785+01:00</t>
  </si>
  <si>
    <t>https://cropontology.org/term/CO_356:1000097</t>
  </si>
  <si>
    <t>UN_LEAF_OIV_455</t>
  </si>
  <si>
    <t>Leaf: degree of resistance to Oidium</t>
  </si>
  <si>
    <t>Leaf: degree of resistance to Oidium
Creator : Eric Duchene
Institution : INRAE</t>
  </si>
  <si>
    <t>https://cropontology.org/term/CO_356:2000187</t>
  </si>
  <si>
    <t>Resistance to Oidium (Leaf)</t>
  </si>
  <si>
    <t>https://cropontology.org/term/CO_356:3000109</t>
  </si>
  <si>
    <t>OIV:455</t>
  </si>
  <si>
    <t>2024-01-03T15:32:27.302602+01:00</t>
  </si>
  <si>
    <t>https://cropontology.org/term/CO_356:1000221</t>
  </si>
  <si>
    <t>UN_LEAF_PC</t>
  </si>
  <si>
    <t>Surface of foliage attacked by Powdery Mildew</t>
  </si>
  <si>
    <t>Surface of foliage attacked by Powdery Mildew
Creator : Eric Duchene
Institution : INRAE</t>
  </si>
  <si>
    <t>https://cropontology.org/term/CO_356:2000149</t>
  </si>
  <si>
    <t>2024-01-03T15:32:27.633378+01:00</t>
  </si>
  <si>
    <t>https://cropontology.org/term/CO_356:1000098</t>
  </si>
  <si>
    <t>UN_LEAFDISK_OIV_455-1</t>
  </si>
  <si>
    <t>Leaf: degree of resistance to Oidium (leaf disc test), OIV:455-1</t>
  </si>
  <si>
    <t>Leaf: degree of resistance to Oidium (leaf disc test), OIV:455-1
Creator : Eric Duchene
Institution : INRAE</t>
  </si>
  <si>
    <t>https://cropontology.org/term/CO_356:3000110</t>
  </si>
  <si>
    <t>OIV:455-1</t>
  </si>
  <si>
    <t>2024-01-03T15:32:28.009984+01:00</t>
  </si>
  <si>
    <t>https://cropontology.org/term/CO_356:1000010</t>
  </si>
  <si>
    <t>VER_50</t>
  </si>
  <si>
    <t>Veraison date (50%), Time of beginning of berry ripening (veraison)</t>
  </si>
  <si>
    <t>Veraison date (50%), Time of beginning of berry ripening (veraison)
Creator : Eric Duchene
Institution : INRAE</t>
  </si>
  <si>
    <t>2024-01-03T15:32:28.340309+01:00</t>
  </si>
  <si>
    <t>https://cropontology.org/term/CO_356:1000227</t>
  </si>
  <si>
    <t>VER_OIV_303</t>
  </si>
  <si>
    <t>Time of beginning of berry ripening (veraison)</t>
  </si>
  <si>
    <t>Time of beginning of berry ripening (veraison)
Creator : Eric Duchene
Institution : INRAE</t>
  </si>
  <si>
    <t>https://cropontology.org/term/CO_356:3000095</t>
  </si>
  <si>
    <t>OIV:303</t>
  </si>
  <si>
    <t>2024-01-03T15:32:28.644779+01:00</t>
  </si>
  <si>
    <t>https://cropontology.org/term/CO_356:1000323</t>
  </si>
  <si>
    <t>WINE_ACETIC</t>
  </si>
  <si>
    <t>Acetic acid concentration in the wine (Enzym., g/l)</t>
  </si>
  <si>
    <t>Acetic acid concentration in the wine (Enzym., g/l)
Creator : Eric Duchene
Institution : INRAE</t>
  </si>
  <si>
    <t>https://cropontology.org/term/CO_356:2000251</t>
  </si>
  <si>
    <t>Wine: acetic acid</t>
  </si>
  <si>
    <t>vitioeno:id/variable/characteristic.acetic_acid</t>
  </si>
  <si>
    <t>acetic acid</t>
  </si>
  <si>
    <t>https://cropontology.org/term/CO_356:3000270</t>
  </si>
  <si>
    <t>Acetic acid: enzymatic method</t>
  </si>
  <si>
    <t>2024-01-03T15:32:28.984937+01:00</t>
  </si>
  <si>
    <t>https://cropontology.org/term/CO_356:1000015</t>
  </si>
  <si>
    <t>WINE_ANTHO</t>
  </si>
  <si>
    <t>Wine Anthocyanins content</t>
  </si>
  <si>
    <t>Wine Anthocyanins content
Creator : Eric Duchene
Institution : INRAE</t>
  </si>
  <si>
    <t>https://cropontology.org/term/CO_356:2000231</t>
  </si>
  <si>
    <t>Anthocyanins (wine)</t>
  </si>
  <si>
    <t>2024-01-03T15:32:29.339514+01:00</t>
  </si>
  <si>
    <t>https://cropontology.org/term/CO_356:1000050</t>
  </si>
  <si>
    <t>WINE_BTERP</t>
  </si>
  <si>
    <t>Wine Concentration of bound terpenols</t>
  </si>
  <si>
    <t>Wine Concentration of bound terpenols
Creator : Eric Duchene
Institution : INRAE</t>
  </si>
  <si>
    <t>2024-01-03T15:32:29.674846+01:00</t>
  </si>
  <si>
    <t>https://cropontology.org/term/CO_356:1000322</t>
  </si>
  <si>
    <t>WINE_CALCIUM</t>
  </si>
  <si>
    <t>Wine: calcium concentration</t>
  </si>
  <si>
    <t>Wine: calcium concentration
Creator : Eric Duchene
Institution : INRAE</t>
  </si>
  <si>
    <t>https://cropontology.org/term/CO_356:2000250</t>
  </si>
  <si>
    <t>2024-01-03T15:32:30.003936+01:00</t>
  </si>
  <si>
    <t>https://cropontology.org/term/CO_356:1000236</t>
  </si>
  <si>
    <t>WINE_DO280</t>
  </si>
  <si>
    <t>Wine Total Phenolic Content (DO 280)</t>
  </si>
  <si>
    <t>Wine Total Phenolic Content (DO 280)
Creator : Eric Duchene
Institution : INRAE</t>
  </si>
  <si>
    <t>2024-01-03T15:32:30.32026+01:00</t>
  </si>
  <si>
    <t>https://cropontology.org/term/CO_356:1000071</t>
  </si>
  <si>
    <t>WINE_DO420</t>
  </si>
  <si>
    <t>Optical density at 420 nm of the wine</t>
  </si>
  <si>
    <t>Optical density at 420 nm of the wine
Creator : Eric Duchene
Institution : INRAE</t>
  </si>
  <si>
    <t>2024-01-03T15:32:30.667171+01:00</t>
  </si>
  <si>
    <t>https://cropontology.org/term/CO_356:1000073</t>
  </si>
  <si>
    <t>WINE_DO520</t>
  </si>
  <si>
    <t>Optical density at 520 nm of the wine</t>
  </si>
  <si>
    <t>Optical density at 520 nm of the wine
Creator : Eric Duchene
Institution : INRAE</t>
  </si>
  <si>
    <t>2024-01-03T15:32:31.001366+01:00</t>
  </si>
  <si>
    <t>https://cropontology.org/term/CO_356:1000075</t>
  </si>
  <si>
    <t>WINE_DO620</t>
  </si>
  <si>
    <t>Optical density at 620 nm of the wine</t>
  </si>
  <si>
    <t>Optical density at 620 nm of the wine
Creator : Eric Duchene
Institution : INRAE</t>
  </si>
  <si>
    <t>2024-01-03T15:32:31.341029+01:00</t>
  </si>
  <si>
    <t>https://cropontology.org/term/CO_356:1000063</t>
  </si>
  <si>
    <t>WINE_FTERP</t>
  </si>
  <si>
    <t>Wine Concentration of free terpenols</t>
  </si>
  <si>
    <t>Wine Concentration of free terpenols
Creator : Eric Duchene
Institution : INRAE</t>
  </si>
  <si>
    <t>2024-01-03T15:32:31.66811+01:00</t>
  </si>
  <si>
    <t>https://cropontology.org/term/CO_356:1000189</t>
  </si>
  <si>
    <t>WINE_K</t>
  </si>
  <si>
    <t>Wine Potassium concentration</t>
  </si>
  <si>
    <t>Wine Potassium concentration
Creator : Eric Duchene
Institution : INRAE</t>
  </si>
  <si>
    <t>2024-01-03T15:32:31.99239+01:00</t>
  </si>
  <si>
    <t>https://cropontology.org/term/CO_356:1000339</t>
  </si>
  <si>
    <t>WINE_LACT_Enz_g/l</t>
  </si>
  <si>
    <t>Wine: Concentration of lactic acid (enz., g/l)</t>
  </si>
  <si>
    <t>Wine: Concentration of lactic acid (enz., g/l)
Creator : Eric Duchene
Institution : INRAE</t>
  </si>
  <si>
    <t>https://cropontology.org/term/CO_356:2000280</t>
  </si>
  <si>
    <t>Wine: lactic acid</t>
  </si>
  <si>
    <t>vitioeno:id/variable/characteristic.lactic_acid</t>
  </si>
  <si>
    <t>lactic acid</t>
  </si>
  <si>
    <t>https://cropontology.org/term/CO_356:3000266</t>
  </si>
  <si>
    <t>Lactic acid: enzymatic method</t>
  </si>
  <si>
    <t>2024-01-03T15:32:32.353133+01:00</t>
  </si>
  <si>
    <t>https://cropontology.org/term/CO_356:1000104</t>
  </si>
  <si>
    <t>WINE_MAL</t>
  </si>
  <si>
    <t>Wine Malic acid concentration</t>
  </si>
  <si>
    <t>Wine Malic acid concentration
Creator : Eric Duchene
Institution : INRAE</t>
  </si>
  <si>
    <t>https://cropontology.org/term/CO_356:2000236</t>
  </si>
  <si>
    <t>Wine: malic acid concentration</t>
  </si>
  <si>
    <t>2024-01-03T15:32:32.701001+01:00</t>
  </si>
  <si>
    <t>https://cropontology.org/term/CO_356:1000308</t>
  </si>
  <si>
    <t>WINE_MAL_CapE_g</t>
  </si>
  <si>
    <t>Malic acid concentration in the wine (Cap. electro., g/l)</t>
  </si>
  <si>
    <t>Malic acid concentration in the wine (Cap. electro., g/l)
Creator : Eric Duchene
Institution : INRAE</t>
  </si>
  <si>
    <t>2024-01-03T15:32:33.023007+01:00</t>
  </si>
  <si>
    <t>https://cropontology.org/term/CO_356:1000186</t>
  </si>
  <si>
    <t>WINE_pH</t>
  </si>
  <si>
    <t>Wine pH</t>
  </si>
  <si>
    <t>Wine pH
Creator : Eric Duchene
Institution : INRAE</t>
  </si>
  <si>
    <t>2024-01-03T15:32:33.355587+01:00</t>
  </si>
  <si>
    <t>https://cropontology.org/term/CO_356:1000356</t>
  </si>
  <si>
    <t>WINE_PROT_STAB</t>
  </si>
  <si>
    <t>Wine protein stability (heat test)</t>
  </si>
  <si>
    <t>Wine protein stability (heat test)
Creator : Eric Duchene
Institution : INRAE</t>
  </si>
  <si>
    <t>https://cropontology.org/term/CO_356:2000282</t>
  </si>
  <si>
    <t>Wine protein stability</t>
  </si>
  <si>
    <t>vitioeno:id/variable/characteristic.protein_stability</t>
  </si>
  <si>
    <t>Protein stability</t>
  </si>
  <si>
    <t>https://cropontology.org/term/CO_356:3000282</t>
  </si>
  <si>
    <t>Turbidity after heat stress (protein stability)</t>
  </si>
  <si>
    <t>2024-01-03T15:32:33.691928+01:00</t>
  </si>
  <si>
    <t>https://cropontology.org/term/CO_356:1000194</t>
  </si>
  <si>
    <t>WINE_RES_SUG</t>
  </si>
  <si>
    <t>Residual sugar concentration</t>
  </si>
  <si>
    <t>Residual sugar concentration
Creator : Eric Duchene
Institution : INRAE</t>
  </si>
  <si>
    <t>https://cropontology.org/term/CO_356:2000127</t>
  </si>
  <si>
    <t>Residual sugar</t>
  </si>
  <si>
    <t>https://cropontology.org/term/CO_356:3000248</t>
  </si>
  <si>
    <t>Fehling_reducing_sugars</t>
  </si>
  <si>
    <t>2024-01-03T15:32:34.232889+01:00</t>
  </si>
  <si>
    <t>https://cropontology.org/term/CO_356:1000085</t>
  </si>
  <si>
    <t>WINE_SO2_FREE</t>
  </si>
  <si>
    <t>Free SO2 concentration in the wine</t>
  </si>
  <si>
    <t>Free SO2 concentration in the wine
Creator : Eric Duchene
Institution : INRAE</t>
  </si>
  <si>
    <t>https://cropontology.org/term/CO_356:2000056</t>
  </si>
  <si>
    <t>Wine: free SO2</t>
  </si>
  <si>
    <t>vitioeno:set/variables#characteristic.free-so2</t>
  </si>
  <si>
    <t>free SO2</t>
  </si>
  <si>
    <t>2024-01-03T15:32:34.715589+01:00</t>
  </si>
  <si>
    <t>https://cropontology.org/term/CO_356:1000238</t>
  </si>
  <si>
    <t>WINE_SO2_TOT</t>
  </si>
  <si>
    <t>Total SO2 concentration in the wine</t>
  </si>
  <si>
    <t>Total SO2 concentration in the wine
Creator : Eric Duchene
Institution : INRAE</t>
  </si>
  <si>
    <t>https://cropontology.org/term/CO_356:2000160</t>
  </si>
  <si>
    <t>Wine: total SO2</t>
  </si>
  <si>
    <t>vitioeno:set/variables#characteristic.total-so2</t>
  </si>
  <si>
    <t>total SO2</t>
  </si>
  <si>
    <t>2024-01-03T15:32:35.029358+01:00</t>
  </si>
  <si>
    <t>https://cropontology.org/term/CO_356:1000233</t>
  </si>
  <si>
    <t>WINE_TA</t>
  </si>
  <si>
    <t>Wine Titratable acidity</t>
  </si>
  <si>
    <t>Wine Titratable acidity
Creator : Eric Duchene
Institution : INRAE</t>
  </si>
  <si>
    <t>https://cropontology.org/term/CO_356:2000240</t>
  </si>
  <si>
    <t>Wine: titratable acidity</t>
  </si>
  <si>
    <t>vitioeno:id/variable/characteristic.titratable_acidity</t>
  </si>
  <si>
    <t>titratable acidity</t>
  </si>
  <si>
    <t>2024-01-03T15:32:35.358092+01:00</t>
  </si>
  <si>
    <t>https://cropontology.org/term/CO_356:1000310</t>
  </si>
  <si>
    <t>WINE_TA_gH2SO4</t>
  </si>
  <si>
    <t>Titratable acidity of the wine (g/l eq H2SO4)</t>
  </si>
  <si>
    <t>Titratable acidity of the wine (g/l eq H2SO4)
Creator : Eric Duchene
Institution : INRAE</t>
  </si>
  <si>
    <t>2024-01-03T15:32:35.672329+01:00</t>
  </si>
  <si>
    <t>https://cropontology.org/term/CO_356:1000224</t>
  </si>
  <si>
    <t>WINE_TART</t>
  </si>
  <si>
    <t>Wine Tartaric acid concentration</t>
  </si>
  <si>
    <t>Wine Tartaric acid concentration
Creator : Eric Duchene
Institution : INRAE</t>
  </si>
  <si>
    <t>https://cropontology.org/term/CO_356:2000238</t>
  </si>
  <si>
    <t>Wine: tartaric acid concentration</t>
  </si>
  <si>
    <t>2024-01-03T15:32:35.994323+01:00</t>
  </si>
  <si>
    <t>https://cropontology.org/term/CO_356:1000309</t>
  </si>
  <si>
    <t>WINE_TART_CapE_g</t>
  </si>
  <si>
    <t>Tartaric acid concentration in the wine (Cap. electro., g/l)</t>
  </si>
  <si>
    <t>Tartaric acid concentration in the wine (Cap. electro., g/l)
Creator : Eric Duchene
Institution : INRAE</t>
  </si>
  <si>
    <t>2024-01-03T15:32:36.323031+01:00</t>
  </si>
  <si>
    <t>https://cropontology.org/term/CO_356:1000059</t>
  </si>
  <si>
    <t>WINE_TOTTERP</t>
  </si>
  <si>
    <t>Wine Concentration of free and bound terpenols</t>
  </si>
  <si>
    <t>Wine Concentration of free and bound terpenols
Creator : Eric Duchene
Institution : INRAE</t>
  </si>
  <si>
    <t>2024-01-03T15:32:36.674163+01:00</t>
  </si>
  <si>
    <t>https://cropontology.org/term/CO_356:1000228</t>
  </si>
  <si>
    <t>WOODM_OIV_305</t>
  </si>
  <si>
    <t>Time of beginning of wood maturity</t>
  </si>
  <si>
    <t>Time of beginning of wood maturity
Creator : Eric Duchene
Institution : INRAE</t>
  </si>
  <si>
    <t>https://cropontology.org/term/CO_356:2000154</t>
  </si>
  <si>
    <t>https://cropontology.org/term/CO_356:3000097</t>
  </si>
  <si>
    <t>OIV:305</t>
  </si>
  <si>
    <t>2024-01-03T15:32:36.972021+01:00</t>
  </si>
  <si>
    <t>https://cropontology.org/term/CO_356:1000248</t>
  </si>
  <si>
    <t>YIELD_OIV_504</t>
  </si>
  <si>
    <t>Yield per m2, OIV:504</t>
  </si>
  <si>
    <t>Yield per m2, OIV:504
Creator : Eric Duchene
Institution : INRAE</t>
  </si>
  <si>
    <t>https://cropontology.org/term/CO_356:2000168</t>
  </si>
  <si>
    <t>vitioeno:id/variable/entity.grapes</t>
  </si>
  <si>
    <t>Grapes</t>
  </si>
  <si>
    <t>https://cropontology.org/term/CO_356:3000118</t>
  </si>
  <si>
    <t>OIV:504</t>
  </si>
  <si>
    <t>2024-01-03T15:32:37.301911+01:00</t>
  </si>
  <si>
    <t>https://cropontology.org/term/CO_356:1000247</t>
  </si>
  <si>
    <t>YIELD_PLANT</t>
  </si>
  <si>
    <t>Grapes_Weight</t>
  </si>
  <si>
    <t>NULL</t>
  </si>
  <si>
    <t>2024-04-10T17:05:17.382338+02:00</t>
  </si>
  <si>
    <t>fiche_titre</t>
  </si>
  <si>
    <t>fiche_file</t>
  </si>
  <si>
    <t>var_uri</t>
  </si>
  <si>
    <t>var_name</t>
  </si>
  <si>
    <t>var_short_uri</t>
  </si>
  <si>
    <t>var_description</t>
  </si>
  <si>
    <t>Suivi du débourrement de la vigne</t>
  </si>
  <si>
    <t>keywords</t>
  </si>
  <si>
    <t>fiche_pheno_dbr.qmd</t>
  </si>
  <si>
    <t>var_alt_name</t>
  </si>
  <si>
    <t>phénologie, débourrement, BBCH07</t>
  </si>
  <si>
    <t>Suivi de la floraison de la vigne</t>
  </si>
  <si>
    <t>fiche_pheno_flo.qmd</t>
  </si>
  <si>
    <t>phénologie, floraison, BBCH65</t>
  </si>
  <si>
    <t>Suivi de la véraison de la vigne</t>
  </si>
  <si>
    <t>phénologie, véraison, BBCH85</t>
  </si>
  <si>
    <t>fiche_pheno_ver.qmd</t>
  </si>
  <si>
    <t>Estimation visuelle de la vigueur - méthode OIV351</t>
  </si>
  <si>
    <t>fiche_vigueur_OIV351.qmd</t>
  </si>
  <si>
    <t>vigueur</t>
  </si>
  <si>
    <t>vigueur, sarment, diamètre, OIV</t>
  </si>
  <si>
    <t>Diamètre des sarments</t>
  </si>
  <si>
    <t>fiche_vigueur_diam_sarment.qmd</t>
  </si>
  <si>
    <t>vigueur, sarment, OIV</t>
  </si>
  <si>
    <t>phénologie</t>
  </si>
  <si>
    <t>catégorie</t>
  </si>
  <si>
    <t>Poids des bois de taille</t>
  </si>
  <si>
    <t>vigueur, taille</t>
  </si>
  <si>
    <t>fiche_pbt.qmd</t>
  </si>
  <si>
    <t>Mesure de la Surface externe de couvert végétal</t>
  </si>
  <si>
    <t>fiche_secv.qmd</t>
  </si>
  <si>
    <t>vigueur, surface foliaire</t>
  </si>
  <si>
    <t>Indices chlorophylliens (N-tester, SPAD, Dualex)</t>
  </si>
  <si>
    <t>N-Tester, SPAD, Dualex, indice chlorophyllien</t>
  </si>
  <si>
    <t>fiche_chl_index.qmd</t>
  </si>
  <si>
    <t>statut minéral</t>
  </si>
  <si>
    <t>Observations mildiou - Méthode EPPO</t>
  </si>
  <si>
    <t>maladies</t>
  </si>
  <si>
    <t>fiche_mildiou_EPPO.qmd</t>
  </si>
  <si>
    <t>Observations oïdium - Méthode EPPO</t>
  </si>
  <si>
    <t>fiche_oidium_EPPO.qmd</t>
  </si>
  <si>
    <t>maladie, mildiou, feuille, EPPO</t>
  </si>
  <si>
    <t>maladie, mildiou, grappe, EPPO</t>
  </si>
  <si>
    <t>maladie, oïdium, feuille, EPPO</t>
  </si>
  <si>
    <t>maladie, oïdium,grappe, EPPO</t>
  </si>
  <si>
    <t>Notation de chlorose ferrique</t>
  </si>
  <si>
    <t>carences</t>
  </si>
  <si>
    <t>fiche_chlorose.qmd</t>
  </si>
  <si>
    <t>carence, chlorose, fer, OIV</t>
  </si>
  <si>
    <t>récolte</t>
  </si>
  <si>
    <t>Composantes du rendement à la récolte</t>
  </si>
  <si>
    <t>fiche_rdt.qmd</t>
  </si>
  <si>
    <t>Suivi maturité par prélèvement de baies</t>
  </si>
  <si>
    <t>récolte, rendement, grappe</t>
  </si>
  <si>
    <t>maturité, grappe</t>
  </si>
  <si>
    <t>fiche_matu.qmd</t>
  </si>
  <si>
    <t>fiche_lien</t>
  </si>
  <si>
    <t>matu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</si>
</sst>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3" fillId="0" borderId="0" xfId="0" applyFont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cropontology.org/term/CO_356:1000190" TargetMode="External"/><Relationship Id="rId1" Type="http://schemas.openxmlformats.org/officeDocument/2006/relationships/hyperlink" Target="https://cropontology.org/term/CO_356:100018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A9543-65FC-4BE3-850F-17C22DD047B6}">
  <dimension ref="A1:J46"/>
  <sheetViews>
    <sheetView tabSelected="1" workbookViewId="0">
      <pane ySplit="1" topLeftCell="A14" activePane="bottomLeft" state="frozen"/>
      <selection pane="bottomLeft" activeCell="A34" sqref="A34:A46"/>
    </sheetView>
  </sheetViews>
  <sheetFormatPr baseColWidth="10" defaultRowHeight="15" x14ac:dyDescent="0.25"/>
  <cols>
    <col min="2" max="2" width="18" customWidth="1"/>
    <col min="3" max="3" width="15.140625" customWidth="1"/>
    <col min="4" max="4" width="14.42578125" bestFit="1" customWidth="1"/>
    <col min="5" max="5" width="50.5703125" bestFit="1" customWidth="1"/>
    <col min="6" max="6" width="41.7109375" bestFit="1" customWidth="1"/>
    <col min="7" max="7" width="9.140625" bestFit="1" customWidth="1"/>
    <col min="8" max="8" width="12.140625" bestFit="1" customWidth="1"/>
    <col min="9" max="9" width="13.7109375" bestFit="1" customWidth="1"/>
  </cols>
  <sheetData>
    <row r="1" spans="1:10" x14ac:dyDescent="0.25">
      <c r="A1" s="2" t="s">
        <v>2957</v>
      </c>
      <c r="B1" s="2" t="s">
        <v>2939</v>
      </c>
      <c r="C1" s="2" t="s">
        <v>2932</v>
      </c>
      <c r="D1" s="2" t="s">
        <v>2933</v>
      </c>
      <c r="E1" s="2" t="s">
        <v>2988</v>
      </c>
      <c r="F1" s="2" t="s">
        <v>2934</v>
      </c>
      <c r="G1" s="2" t="s">
        <v>2935</v>
      </c>
      <c r="H1" s="2" t="s">
        <v>2941</v>
      </c>
      <c r="I1" s="2" t="s">
        <v>2937</v>
      </c>
      <c r="J1" s="2" t="s">
        <v>2936</v>
      </c>
    </row>
    <row r="2" spans="1:10" x14ac:dyDescent="0.25">
      <c r="A2" t="s">
        <v>2956</v>
      </c>
      <c r="B2" t="s">
        <v>2942</v>
      </c>
      <c r="C2" t="s">
        <v>2938</v>
      </c>
      <c r="D2" t="s">
        <v>2940</v>
      </c>
      <c r="E2" t="str">
        <f>CONCATENATE("https://vignevin.github.io/methodo/",_xlfn.REGEXREPLACE(D2,"qmd","html"))</f>
        <v>https://vignevin.github.io/methodo/fiche_pheno_dbr.html</v>
      </c>
      <c r="F2" s="1" t="s">
        <v>2284</v>
      </c>
      <c r="G2" t="str">
        <f>VLOOKUP(F2,'Sheet 1'!$A$1:$O$355,2,FALSE)</f>
        <v>PER_SBU</v>
      </c>
      <c r="H2" t="str">
        <f>VLOOKUP(F2,'Sheet 1'!$A$1:$O$355,3,FALSE)</f>
        <v>Percentage of sprouted buds</v>
      </c>
      <c r="I2" t="str">
        <f>VLOOKUP(F2,'Sheet 1'!$A$1:$O$355,4,FALSE)</f>
        <v>Percentage of sprouted buds
Creator : Eric Duchene
Institution : INRAE</v>
      </c>
      <c r="J2" t="str">
        <f>_xlfn.REGEXREPLACE(F2,"https://cropontology.org/term/","")</f>
        <v>CO_356:1000183</v>
      </c>
    </row>
    <row r="3" spans="1:10" x14ac:dyDescent="0.25">
      <c r="A3" t="s">
        <v>2956</v>
      </c>
      <c r="B3" t="s">
        <v>2942</v>
      </c>
      <c r="C3" t="s">
        <v>2938</v>
      </c>
      <c r="D3" t="s">
        <v>2940</v>
      </c>
      <c r="E3" t="str">
        <f t="shared" ref="E3:E46" si="0">CONCATENATE("https://vignevin.github.io/methodo/",_xlfn.REGEXREPLACE(D3,"qmd","html"))</f>
        <v>https://vignevin.github.io/methodo/fiche_pheno_dbr.html</v>
      </c>
      <c r="F3" t="s">
        <v>344</v>
      </c>
      <c r="G3" t="str">
        <f>VLOOKUP(F3,'Sheet 1'!$A$1:$O$355,2,FALSE)</f>
        <v>BUD_DATE</v>
      </c>
      <c r="H3" t="str">
        <f>VLOOKUP(F3,'Sheet 1'!$A$1:$O$355,3,FALSE)</f>
        <v>Budbreak date (50%)</v>
      </c>
      <c r="I3" t="str">
        <f>VLOOKUP(F3,'Sheet 1'!$A$1:$O$355,4,FALSE)</f>
        <v>Budbreak date (50%)
Creator : Eric Duchene
Institution : INRAE</v>
      </c>
      <c r="J3" t="str">
        <f t="shared" ref="J3:J4" si="1">_xlfn.REGEXREPLACE(F3,"https://cropontology.org/term/","")</f>
        <v>CO_356:1000001</v>
      </c>
    </row>
    <row r="4" spans="1:10" x14ac:dyDescent="0.25">
      <c r="A4" t="s">
        <v>2956</v>
      </c>
      <c r="B4" t="s">
        <v>2942</v>
      </c>
      <c r="C4" t="s">
        <v>2938</v>
      </c>
      <c r="D4" t="s">
        <v>2940</v>
      </c>
      <c r="E4" t="str">
        <f t="shared" si="0"/>
        <v>https://vignevin.github.io/methodo/fiche_pheno_dbr.html</v>
      </c>
      <c r="F4" t="s">
        <v>428</v>
      </c>
      <c r="G4" t="str">
        <f>VLOOKUP(F4,'Sheet 1'!$A$1:$O$355,2,FALSE)</f>
        <v>DOY_BUD</v>
      </c>
      <c r="H4" t="str">
        <f>VLOOKUP(F4,'Sheet 1'!$A$1:$O$355,3,FALSE)</f>
        <v>Day of Year Budbreak (50%)</v>
      </c>
      <c r="I4" t="str">
        <f>VLOOKUP(F4,'Sheet 1'!$A$1:$O$355,4,FALSE)</f>
        <v>Day of Year Budbreak (50%)
Creator : Eric Duchene
Institution : INRAE</v>
      </c>
      <c r="J4" t="str">
        <f t="shared" si="1"/>
        <v>CO_356:1000076</v>
      </c>
    </row>
    <row r="5" spans="1:10" x14ac:dyDescent="0.25">
      <c r="A5" t="s">
        <v>2956</v>
      </c>
      <c r="B5" t="s">
        <v>2945</v>
      </c>
      <c r="C5" t="s">
        <v>2943</v>
      </c>
      <c r="D5" t="s">
        <v>2944</v>
      </c>
      <c r="E5" t="str">
        <f t="shared" si="0"/>
        <v>https://vignevin.github.io/methodo/fiche_pheno_flo.html</v>
      </c>
      <c r="F5" t="s">
        <v>2278</v>
      </c>
      <c r="G5" t="str">
        <f>VLOOKUP(F5,'Sheet 1'!$A$1:$O$355,2,FALSE)</f>
        <v>OPEN_FLO_PC</v>
      </c>
      <c r="H5" t="str">
        <f>VLOOKUP(F5,'Sheet 1'!$A$1:$O$355,3,FALSE)</f>
        <v>Percentage of open flowers</v>
      </c>
      <c r="I5" t="str">
        <f>VLOOKUP(F5,'Sheet 1'!$A$1:$O$355,4,FALSE)</f>
        <v>Percentage of open flowers
Creator : Eric Duchene
Institution : INRAE</v>
      </c>
      <c r="J5" t="str">
        <f t="shared" ref="J5:J8" si="2">_xlfn.REGEXREPLACE(F5,"https://cropontology.org/term/","")</f>
        <v>CO_356:1000181</v>
      </c>
    </row>
    <row r="6" spans="1:10" x14ac:dyDescent="0.25">
      <c r="A6" t="s">
        <v>2956</v>
      </c>
      <c r="B6" t="s">
        <v>2945</v>
      </c>
      <c r="C6" t="s">
        <v>2943</v>
      </c>
      <c r="D6" t="s">
        <v>2944</v>
      </c>
      <c r="E6" t="str">
        <f t="shared" si="0"/>
        <v>https://vignevin.github.io/methodo/fiche_pheno_flo.html</v>
      </c>
      <c r="F6" t="s">
        <v>532</v>
      </c>
      <c r="G6" t="str">
        <f>VLOOKUP(F6,'Sheet 1'!$A$1:$O$355,2,FALSE)</f>
        <v>FLO_50</v>
      </c>
      <c r="H6" t="str">
        <f>VLOOKUP(F6,'Sheet 1'!$A$1:$O$355,3,FALSE)</f>
        <v>Flowering date (50%)</v>
      </c>
      <c r="I6" t="str">
        <f>VLOOKUP(F6,'Sheet 1'!$A$1:$O$355,4,FALSE)</f>
        <v>Flowering date (50%)
Creator : Eric Duchene
Institution : INRAE</v>
      </c>
      <c r="J6" t="str">
        <f t="shared" si="2"/>
        <v>CO_356:1000011</v>
      </c>
    </row>
    <row r="7" spans="1:10" x14ac:dyDescent="0.25">
      <c r="A7" t="s">
        <v>2956</v>
      </c>
      <c r="B7" t="s">
        <v>2945</v>
      </c>
      <c r="C7" t="s">
        <v>2943</v>
      </c>
      <c r="D7" t="s">
        <v>2944</v>
      </c>
      <c r="E7" t="str">
        <f t="shared" si="0"/>
        <v>https://vignevin.github.io/methodo/fiche_pheno_flo.html</v>
      </c>
      <c r="F7" t="s">
        <v>549</v>
      </c>
      <c r="G7" t="str">
        <f>VLOOKUP(F7,'Sheet 1'!$A$1:$O$355,2,FALSE)</f>
        <v>FLO_START</v>
      </c>
      <c r="H7" t="str">
        <f>VLOOKUP(F7,'Sheet 1'!$A$1:$O$355,3,FALSE)</f>
        <v>Flowering start</v>
      </c>
      <c r="I7" t="str">
        <f>VLOOKUP(F7,'Sheet 1'!$A$1:$O$355,4,FALSE)</f>
        <v>Flowering start
Creator : Eric Duchene
Institution : INRAE</v>
      </c>
      <c r="J7" t="str">
        <f t="shared" si="2"/>
        <v>CO_356:1000083</v>
      </c>
    </row>
    <row r="8" spans="1:10" x14ac:dyDescent="0.25">
      <c r="A8" t="s">
        <v>2956</v>
      </c>
      <c r="B8" t="s">
        <v>2945</v>
      </c>
      <c r="C8" t="s">
        <v>2943</v>
      </c>
      <c r="D8" t="s">
        <v>2944</v>
      </c>
      <c r="E8" t="str">
        <f t="shared" si="0"/>
        <v>https://vignevin.github.io/methodo/fiche_pheno_flo.html</v>
      </c>
      <c r="F8" t="s">
        <v>435</v>
      </c>
      <c r="G8" t="str">
        <f>VLOOKUP(F8,'Sheet 1'!$A$1:$O$355,2,FALSE)</f>
        <v>DOY_FLO</v>
      </c>
      <c r="H8" t="str">
        <f>VLOOKUP(F8,'Sheet 1'!$A$1:$O$355,3,FALSE)</f>
        <v>Day of Year Flowering (50%)</v>
      </c>
      <c r="I8" t="str">
        <f>VLOOKUP(F8,'Sheet 1'!$A$1:$O$355,4,FALSE)</f>
        <v>Day of Year Flowering (50%)
Creator : Eric Duchene
Institution : INRAE</v>
      </c>
      <c r="J8" t="str">
        <f t="shared" si="2"/>
        <v>CO_356:1000077</v>
      </c>
    </row>
    <row r="9" spans="1:10" x14ac:dyDescent="0.25">
      <c r="A9" t="s">
        <v>2956</v>
      </c>
      <c r="B9" t="s">
        <v>2947</v>
      </c>
      <c r="C9" t="s">
        <v>2946</v>
      </c>
      <c r="D9" t="s">
        <v>2948</v>
      </c>
      <c r="E9" t="str">
        <f t="shared" si="0"/>
        <v>https://vignevin.github.io/methodo/fiche_pheno_ver.html</v>
      </c>
      <c r="F9" t="s">
        <v>2666</v>
      </c>
      <c r="G9" t="str">
        <f>VLOOKUP(F9,'Sheet 1'!$A$1:$O$355,2,FALSE)</f>
        <v>SOFT_BER_PC</v>
      </c>
      <c r="H9" t="str">
        <f>VLOOKUP(F9,'Sheet 1'!$A$1:$O$355,3,FALSE)</f>
        <v>Percentage of soft berries</v>
      </c>
      <c r="I9" t="str">
        <f>VLOOKUP(F9,'Sheet 1'!$A$1:$O$355,4,FALSE)</f>
        <v>Percentage of soft berries
Creator : Eric Duchene
Institution : INRAE</v>
      </c>
      <c r="J9" t="str">
        <f t="shared" ref="J9:J12" si="3">_xlfn.REGEXREPLACE(F9,"https://cropontology.org/term/","")</f>
        <v>CO_356:1000182</v>
      </c>
    </row>
    <row r="10" spans="1:10" x14ac:dyDescent="0.25">
      <c r="A10" t="s">
        <v>2956</v>
      </c>
      <c r="B10" t="s">
        <v>2947</v>
      </c>
      <c r="C10" t="s">
        <v>2946</v>
      </c>
      <c r="D10" t="s">
        <v>2948</v>
      </c>
      <c r="E10" t="str">
        <f t="shared" si="0"/>
        <v>https://vignevin.github.io/methodo/fiche_pheno_ver.html</v>
      </c>
      <c r="F10" t="s">
        <v>378</v>
      </c>
      <c r="G10" t="str">
        <f>VLOOKUP(F10,'Sheet 1'!$A$1:$O$355,2,FALSE)</f>
        <v>COL_BER_PC</v>
      </c>
      <c r="H10" t="str">
        <f>VLOOKUP(F10,'Sheet 1'!$A$1:$O$355,3,FALSE)</f>
        <v>Percentage of colored berries</v>
      </c>
      <c r="I10" t="str">
        <f>VLOOKUP(F10,'Sheet 1'!$A$1:$O$355,4,FALSE)</f>
        <v>Percentage of colored berries
Creator : Eric Duchene
Institution : INRAE</v>
      </c>
      <c r="J10" t="str">
        <f t="shared" si="3"/>
        <v>CO_356:1000177</v>
      </c>
    </row>
    <row r="11" spans="1:10" x14ac:dyDescent="0.25">
      <c r="A11" t="s">
        <v>2956</v>
      </c>
      <c r="B11" t="s">
        <v>2947</v>
      </c>
      <c r="C11" t="s">
        <v>2946</v>
      </c>
      <c r="D11" t="s">
        <v>2948</v>
      </c>
      <c r="E11" t="str">
        <f t="shared" si="0"/>
        <v>https://vignevin.github.io/methodo/fiche_pheno_ver.html</v>
      </c>
      <c r="F11" t="s">
        <v>2741</v>
      </c>
      <c r="G11" t="str">
        <f>VLOOKUP(F11,'Sheet 1'!$A$1:$O$355,2,FALSE)</f>
        <v>VER_50</v>
      </c>
      <c r="H11" t="str">
        <f>VLOOKUP(F11,'Sheet 1'!$A$1:$O$355,3,FALSE)</f>
        <v>Veraison date (50%), Time of beginning of berry ripening (veraison)</v>
      </c>
      <c r="I11" t="str">
        <f>VLOOKUP(F11,'Sheet 1'!$A$1:$O$355,4,FALSE)</f>
        <v>Veraison date (50%), Time of beginning of berry ripening (veraison)
Creator : Eric Duchene
Institution : INRAE</v>
      </c>
      <c r="J11" t="str">
        <f t="shared" si="3"/>
        <v>CO_356:1000010</v>
      </c>
    </row>
    <row r="12" spans="1:10" x14ac:dyDescent="0.25">
      <c r="A12" t="s">
        <v>2956</v>
      </c>
      <c r="B12" t="s">
        <v>2947</v>
      </c>
      <c r="C12" t="s">
        <v>2946</v>
      </c>
      <c r="D12" t="s">
        <v>2948</v>
      </c>
      <c r="E12" t="str">
        <f t="shared" si="0"/>
        <v>https://vignevin.github.io/methodo/fiche_pheno_ver.html</v>
      </c>
      <c r="F12" t="s">
        <v>443</v>
      </c>
      <c r="G12" t="str">
        <f>VLOOKUP(F12,'Sheet 1'!$A$1:$O$355,2,FALSE)</f>
        <v>DOY_VER</v>
      </c>
      <c r="H12" t="str">
        <f>VLOOKUP(F12,'Sheet 1'!$A$1:$O$355,3,FALSE)</f>
        <v>Day of Year Veraison (50%)</v>
      </c>
      <c r="I12" t="str">
        <f>VLOOKUP(F12,'Sheet 1'!$A$1:$O$355,4,FALSE)</f>
        <v>Day of Year Veraison (50%)
Creator : Eric Duchene
Institution : INRAE</v>
      </c>
      <c r="J12" t="str">
        <f t="shared" si="3"/>
        <v>CO_356:1000078</v>
      </c>
    </row>
    <row r="13" spans="1:10" x14ac:dyDescent="0.25">
      <c r="A13" t="s">
        <v>2951</v>
      </c>
      <c r="B13" t="s">
        <v>2955</v>
      </c>
      <c r="C13" t="s">
        <v>2949</v>
      </c>
      <c r="D13" t="s">
        <v>2950</v>
      </c>
      <c r="E13" t="str">
        <f t="shared" si="0"/>
        <v>https://vignevin.github.io/methodo/fiche_vigueur_OIV351.html</v>
      </c>
      <c r="F13" t="s">
        <v>2630</v>
      </c>
      <c r="G13" t="str">
        <f>VLOOKUP(F13,'Sheet 1'!$A$1:$O$355,2,FALSE)</f>
        <v>SHOOT_G_OIV_351</v>
      </c>
      <c r="H13" t="str">
        <f>VLOOKUP(F13,'Sheet 1'!$A$1:$O$355,3,FALSE)</f>
        <v>Vigor of shoot growth, OIV:351</v>
      </c>
      <c r="I13" t="str">
        <f>VLOOKUP(F13,'Sheet 1'!$A$1:$O$355,4,FALSE)</f>
        <v>Vigor of shoot growth, OIV:351
Creator : Eric Duchene
Institution : INRAE</v>
      </c>
      <c r="J13" t="str">
        <f t="shared" ref="J13" si="4">_xlfn.REGEXREPLACE(F13,"https://cropontology.org/term/","")</f>
        <v>CO_356:1000240</v>
      </c>
    </row>
    <row r="14" spans="1:10" x14ac:dyDescent="0.25">
      <c r="A14" t="s">
        <v>2951</v>
      </c>
      <c r="B14" t="s">
        <v>2952</v>
      </c>
      <c r="C14" t="s">
        <v>2953</v>
      </c>
      <c r="D14" t="s">
        <v>2954</v>
      </c>
      <c r="E14" t="str">
        <f t="shared" si="0"/>
        <v>https://vignevin.github.io/methodo/fiche_vigueur_diam_sarment.html</v>
      </c>
      <c r="F14" t="s">
        <v>695</v>
      </c>
      <c r="G14" t="str">
        <f>VLOOKUP(F14,'Sheet 1'!$A$1:$O$355,2,FALSE)</f>
        <v>INTDIAM_OIV_354</v>
      </c>
      <c r="H14" t="str">
        <f>VLOOKUP(F14,'Sheet 1'!$A$1:$O$355,3,FALSE)</f>
        <v>Diameter of internodes, OIV:354</v>
      </c>
      <c r="I14" t="str">
        <f>VLOOKUP(F14,'Sheet 1'!$A$1:$O$355,4,FALSE)</f>
        <v>Diameter of internodes, OIV:354
Creator : Eric Duchene
Institution : INRAE</v>
      </c>
      <c r="J14" t="str">
        <f t="shared" ref="J14:J17" si="5">_xlfn.REGEXREPLACE(F14,"https://cropontology.org/term/","")</f>
        <v>CO_356:1000069</v>
      </c>
    </row>
    <row r="15" spans="1:10" x14ac:dyDescent="0.25">
      <c r="A15" t="s">
        <v>2951</v>
      </c>
      <c r="B15" t="s">
        <v>2959</v>
      </c>
      <c r="C15" t="s">
        <v>2958</v>
      </c>
      <c r="D15" t="s">
        <v>2960</v>
      </c>
      <c r="E15" t="str">
        <f t="shared" si="0"/>
        <v>https://vignevin.github.io/methodo/fiche_pbt.html</v>
      </c>
      <c r="F15" s="1" t="s">
        <v>2463</v>
      </c>
      <c r="G15" t="str">
        <f>VLOOKUP(F15,'Sheet 1'!$A$1:$O$355,2,FALSE)</f>
        <v>PRUN_FW_PLANT</v>
      </c>
      <c r="H15" t="str">
        <f>VLOOKUP(F15,'Sheet 1'!$A$1:$O$355,3,FALSE)</f>
        <v>Pruning fresh weight per plant</v>
      </c>
      <c r="I15" t="str">
        <f>VLOOKUP(F15,'Sheet 1'!$A$1:$O$355,4,FALSE)</f>
        <v>Pruning fresh weight per plant
Creator : Eric Duchene
Institution : INRAE</v>
      </c>
      <c r="J15" t="str">
        <f t="shared" si="5"/>
        <v>CO_356:1000190</v>
      </c>
    </row>
    <row r="16" spans="1:10" x14ac:dyDescent="0.25">
      <c r="A16" t="s">
        <v>2951</v>
      </c>
      <c r="B16" t="s">
        <v>2959</v>
      </c>
      <c r="C16" t="s">
        <v>2958</v>
      </c>
      <c r="D16" t="s">
        <v>2960</v>
      </c>
      <c r="E16" t="str">
        <f t="shared" si="0"/>
        <v>https://vignevin.github.io/methodo/fiche_pbt.html</v>
      </c>
      <c r="F16" t="s">
        <v>2042</v>
      </c>
      <c r="G16" t="str">
        <f>VLOOKUP(F16,'Sheet 1'!$A$1:$O$355,2,FALSE)</f>
        <v>NB_CANES_PLANT</v>
      </c>
      <c r="H16" t="str">
        <f>VLOOKUP(F16,'Sheet 1'!$A$1:$O$355,3,FALSE)</f>
        <v>Number of canes per plant</v>
      </c>
      <c r="I16" t="str">
        <f>VLOOKUP(F16,'Sheet 1'!$A$1:$O$355,4,FALSE)</f>
        <v>Number of canes per plant
Creator : Eric Duchene
Institution : INRAE</v>
      </c>
      <c r="J16" t="str">
        <f t="shared" si="5"/>
        <v>CO_356:1000157</v>
      </c>
    </row>
    <row r="17" spans="1:10" x14ac:dyDescent="0.25">
      <c r="A17" t="s">
        <v>2951</v>
      </c>
      <c r="B17" t="s">
        <v>2959</v>
      </c>
      <c r="C17" t="s">
        <v>2958</v>
      </c>
      <c r="D17" t="s">
        <v>2960</v>
      </c>
      <c r="E17" t="str">
        <f t="shared" si="0"/>
        <v>https://vignevin.github.io/methodo/fiche_pbt.html</v>
      </c>
      <c r="F17" t="s">
        <v>2452</v>
      </c>
      <c r="G17" t="str">
        <f>VLOOKUP(F17,'Sheet 1'!$A$1:$O$355,2,FALSE)</f>
        <v>PRUN_FW_M2</v>
      </c>
      <c r="H17" t="str">
        <f>VLOOKUP(F17,'Sheet 1'!$A$1:$O$355,3,FALSE)</f>
        <v>Pruning fresh weight per m2</v>
      </c>
      <c r="I17" t="str">
        <f>VLOOKUP(F17,'Sheet 1'!$A$1:$O$355,4,FALSE)</f>
        <v>Pruning fresh weight per m2
Creator : Eric Duchene
Institution : INRAE</v>
      </c>
      <c r="J17" t="str">
        <f t="shared" si="5"/>
        <v>CO_356:1000290</v>
      </c>
    </row>
    <row r="18" spans="1:10" x14ac:dyDescent="0.25">
      <c r="A18" t="s">
        <v>2951</v>
      </c>
      <c r="B18" t="s">
        <v>2963</v>
      </c>
      <c r="C18" t="s">
        <v>2961</v>
      </c>
      <c r="D18" t="s">
        <v>2962</v>
      </c>
      <c r="E18" t="str">
        <f t="shared" si="0"/>
        <v>https://vignevin.github.io/methodo/fiche_secv.html</v>
      </c>
      <c r="F18" t="s">
        <v>462</v>
      </c>
      <c r="G18" t="str">
        <f>VLOOKUP(F18,'Sheet 1'!$A$1:$O$355,2,FALSE)</f>
        <v>EXP_LA_M2</v>
      </c>
      <c r="H18" t="str">
        <f>VLOOKUP(F18,'Sheet 1'!$A$1:$O$355,3,FALSE)</f>
        <v>Exposed leaf area per m2 of soil</v>
      </c>
      <c r="I18" t="str">
        <f>VLOOKUP(F18,'Sheet 1'!$A$1:$O$355,4,FALSE)</f>
        <v>Exposed leaf area per m2 of soil
Creator : Eric Duchene
Institution : INRAE</v>
      </c>
      <c r="J18" t="str">
        <f t="shared" ref="J18" si="6">_xlfn.REGEXREPLACE(F18,"https://cropontology.org/term/","")</f>
        <v>CO_356:1000080</v>
      </c>
    </row>
    <row r="19" spans="1:10" x14ac:dyDescent="0.25">
      <c r="A19" t="s">
        <v>2967</v>
      </c>
      <c r="B19" t="s">
        <v>2965</v>
      </c>
      <c r="C19" t="s">
        <v>2964</v>
      </c>
      <c r="D19" t="s">
        <v>2966</v>
      </c>
      <c r="E19" t="str">
        <f t="shared" si="0"/>
        <v>https://vignevin.github.io/methodo/fiche_chl_index.html</v>
      </c>
      <c r="F19" t="s">
        <v>2674</v>
      </c>
      <c r="G19" t="str">
        <f>VLOOKUP(F19,'Sheet 1'!$A$1:$O$355,2,FALSE)</f>
        <v>SPAD502</v>
      </c>
      <c r="H19" t="str">
        <f>VLOOKUP(F19,'Sheet 1'!$A$1:$O$355,3,FALSE)</f>
        <v>Chlorophyll content of the leaves (Konica Minolta SPAD 502)</v>
      </c>
      <c r="I19" t="str">
        <f>VLOOKUP(F19,'Sheet 1'!$A$1:$O$355,4,FALSE)</f>
        <v>Chlorophyll content of the leaves (Konica Minolta SPAD 502)
Creator : Eric Duchene
Institution : INRAE</v>
      </c>
      <c r="J19" t="str">
        <f t="shared" ref="J19:J20" si="7">_xlfn.REGEXREPLACE(F19,"https://cropontology.org/term/","")</f>
        <v>CO_356:1000332</v>
      </c>
    </row>
    <row r="20" spans="1:10" x14ac:dyDescent="0.25">
      <c r="A20" t="s">
        <v>2967</v>
      </c>
      <c r="B20" t="s">
        <v>2965</v>
      </c>
      <c r="C20" t="s">
        <v>2964</v>
      </c>
      <c r="D20" t="s">
        <v>2966</v>
      </c>
      <c r="E20" t="str">
        <f t="shared" si="0"/>
        <v>https://vignevin.github.io/methodo/fiche_chl_index.html</v>
      </c>
      <c r="F20" t="s">
        <v>2214</v>
      </c>
      <c r="G20" t="str">
        <f>VLOOKUP(F20,'Sheet 1'!$A$1:$O$355,2,FALSE)</f>
        <v>NBI-R</v>
      </c>
      <c r="H20" t="str">
        <f>VLOOKUP(F20,'Sheet 1'!$A$1:$O$355,3,FALSE)</f>
        <v>Nitrogen balance indes (NBI-R, Multiplex research)</v>
      </c>
      <c r="I20" t="str">
        <f>VLOOKUP(F20,'Sheet 1'!$A$1:$O$355,4,FALSE)</f>
        <v>Nitrogen balance indes (NBI-R, Multiplex research)
Creator : Eric Duchene
Institution : INRAE</v>
      </c>
      <c r="J20" t="str">
        <f t="shared" si="7"/>
        <v>CO_356:1000341</v>
      </c>
    </row>
    <row r="21" spans="1:10" x14ac:dyDescent="0.25">
      <c r="A21" t="s">
        <v>2969</v>
      </c>
      <c r="B21" t="s">
        <v>2973</v>
      </c>
      <c r="C21" t="s">
        <v>2968</v>
      </c>
      <c r="D21" t="s">
        <v>2970</v>
      </c>
      <c r="E21" t="str">
        <f t="shared" si="0"/>
        <v>https://vignevin.github.io/methodo/fiche_mildiou_EPPO.html</v>
      </c>
      <c r="F21" t="s">
        <v>2437</v>
      </c>
      <c r="G21" t="str">
        <f>VLOOKUP(F21,'Sheet 1'!$A$1:$O$355,2,FALSE)</f>
        <v>PM_LEAF_PC</v>
      </c>
      <c r="H21" t="str">
        <f>VLOOKUP(F21,'Sheet 1'!$A$1:$O$355,3,FALSE)</f>
        <v>Surface of foliage attacked by Downy Mildew</v>
      </c>
      <c r="I21" t="str">
        <f>VLOOKUP(F21,'Sheet 1'!$A$1:$O$355,4,FALSE)</f>
        <v>Surface of foliage attacked by Downy Mildew
Creator : Eric Duchene
Institution : INRAE</v>
      </c>
      <c r="J21" t="str">
        <f t="shared" ref="J21:J22" si="8">_xlfn.REGEXREPLACE(F21,"https://cropontology.org/term/","")</f>
        <v>CO_356:1000220</v>
      </c>
    </row>
    <row r="22" spans="1:10" x14ac:dyDescent="0.25">
      <c r="A22" t="s">
        <v>2969</v>
      </c>
      <c r="B22" t="s">
        <v>2974</v>
      </c>
      <c r="C22" t="s">
        <v>2968</v>
      </c>
      <c r="D22" t="s">
        <v>2970</v>
      </c>
      <c r="E22" t="str">
        <f t="shared" si="0"/>
        <v>https://vignevin.github.io/methodo/fiche_mildiou_EPPO.html</v>
      </c>
      <c r="F22" t="s">
        <v>2413</v>
      </c>
      <c r="G22" t="str">
        <f>VLOOKUP(F22,'Sheet 1'!$A$1:$O$355,2,FALSE)</f>
        <v>PM_BER_PC</v>
      </c>
      <c r="H22" t="str">
        <f>VLOOKUP(F22,'Sheet 1'!$A$1:$O$355,3,FALSE)</f>
        <v>Percentage of berries destroyed by Downy Mildew</v>
      </c>
      <c r="I22" t="str">
        <f>VLOOKUP(F22,'Sheet 1'!$A$1:$O$355,4,FALSE)</f>
        <v>Percentage of berries destroyed by Downy Mildew
Creator : Eric Duchene
Institution : INRAE</v>
      </c>
      <c r="J22" t="str">
        <f t="shared" si="8"/>
        <v>CO_356:1000172</v>
      </c>
    </row>
    <row r="23" spans="1:10" x14ac:dyDescent="0.25">
      <c r="A23" t="s">
        <v>2969</v>
      </c>
      <c r="B23" t="s">
        <v>2975</v>
      </c>
      <c r="C23" t="s">
        <v>2971</v>
      </c>
      <c r="D23" t="s">
        <v>2972</v>
      </c>
      <c r="E23" t="str">
        <f t="shared" si="0"/>
        <v>https://vignevin.github.io/methodo/fiche_oidium_EPPO.html</v>
      </c>
      <c r="F23" t="s">
        <v>2728</v>
      </c>
      <c r="G23" t="str">
        <f>VLOOKUP(F23,'Sheet 1'!$A$1:$O$355,2,FALSE)</f>
        <v>UN_LEAF_PC</v>
      </c>
      <c r="H23" t="str">
        <f>VLOOKUP(F23,'Sheet 1'!$A$1:$O$355,3,FALSE)</f>
        <v>Surface of foliage attacked by Powdery Mildew</v>
      </c>
      <c r="I23" t="str">
        <f>VLOOKUP(F23,'Sheet 1'!$A$1:$O$355,4,FALSE)</f>
        <v>Surface of foliage attacked by Powdery Mildew
Creator : Eric Duchene
Institution : INRAE</v>
      </c>
      <c r="J23" t="str">
        <f t="shared" ref="J23:J24" si="9">_xlfn.REGEXREPLACE(F23,"https://cropontology.org/term/","")</f>
        <v>CO_356:1000221</v>
      </c>
    </row>
    <row r="24" spans="1:10" x14ac:dyDescent="0.25">
      <c r="A24" t="s">
        <v>2969</v>
      </c>
      <c r="B24" t="s">
        <v>2976</v>
      </c>
      <c r="C24" t="s">
        <v>2971</v>
      </c>
      <c r="D24" t="s">
        <v>2972</v>
      </c>
      <c r="E24" t="str">
        <f t="shared" si="0"/>
        <v>https://vignevin.github.io/methodo/fiche_oidium_EPPO.html</v>
      </c>
      <c r="F24" t="s">
        <v>2701</v>
      </c>
      <c r="G24" t="str">
        <f>VLOOKUP(F24,'Sheet 1'!$A$1:$O$355,2,FALSE)</f>
        <v>UN_BER_PC</v>
      </c>
      <c r="H24" t="str">
        <f>VLOOKUP(F24,'Sheet 1'!$A$1:$O$355,3,FALSE)</f>
        <v>Percentage of berries with Powdery Mildew</v>
      </c>
      <c r="I24" t="str">
        <f>VLOOKUP(F24,'Sheet 1'!$A$1:$O$355,4,FALSE)</f>
        <v>Percentage of berries with Powdery Mildew
Creator : Eric Duchene
Institution : INRAE</v>
      </c>
      <c r="J24" t="str">
        <f t="shared" si="9"/>
        <v>CO_356:1000176</v>
      </c>
    </row>
    <row r="25" spans="1:10" x14ac:dyDescent="0.25">
      <c r="A25" t="s">
        <v>2978</v>
      </c>
      <c r="B25" t="s">
        <v>2980</v>
      </c>
      <c r="C25" t="s">
        <v>2977</v>
      </c>
      <c r="D25" t="s">
        <v>2979</v>
      </c>
      <c r="E25" t="str">
        <f t="shared" si="0"/>
        <v>https://vignevin.github.io/methodo/fiche_chlorose.html</v>
      </c>
      <c r="F25" t="s">
        <v>2510</v>
      </c>
      <c r="G25" t="str">
        <f>VLOOKUP(F25,'Sheet 1'!$A$1:$O$355,2,FALSE)</f>
        <v>RES_IC_OIV_401</v>
      </c>
      <c r="H25" t="str">
        <f>VLOOKUP(F25,'Sheet 1'!$A$1:$O$355,3,FALSE)</f>
        <v>Resistance to iron chlorosis  OIV:401</v>
      </c>
      <c r="I25" t="str">
        <f>VLOOKUP(F25,'Sheet 1'!$A$1:$O$355,4,FALSE)</f>
        <v>Resistance to iron chlorosis
Creator : Eric Duchene
Institution : INRAE</v>
      </c>
      <c r="J25" t="str">
        <f t="shared" ref="J25" si="10">_xlfn.REGEXREPLACE(F25,"https://cropontology.org/term/","")</f>
        <v>CO_356:1000193</v>
      </c>
    </row>
    <row r="26" spans="1:10" x14ac:dyDescent="0.25">
      <c r="A26" t="s">
        <v>2981</v>
      </c>
      <c r="B26" t="s">
        <v>2985</v>
      </c>
      <c r="C26" t="s">
        <v>2982</v>
      </c>
      <c r="D26" t="s">
        <v>2983</v>
      </c>
      <c r="E26" t="str">
        <f t="shared" si="0"/>
        <v>https://vignevin.github.io/methodo/fiche_rdt.html</v>
      </c>
      <c r="F26" t="s">
        <v>646</v>
      </c>
      <c r="G26" t="str">
        <f>VLOOKUP(F26,'Sheet 1'!$A$1:$O$355,2,FALSE)</f>
        <v>HARVEST_DATE</v>
      </c>
      <c r="H26" t="str">
        <f>VLOOKUP(F26,'Sheet 1'!$A$1:$O$355,3,FALSE)</f>
        <v>Harvest date (calendar date)</v>
      </c>
      <c r="I26" t="str">
        <f>VLOOKUP(F26,'Sheet 1'!$A$1:$O$355,4,FALSE)</f>
        <v>Harvest date (calendar date)
Creator : Eric Duchene
Institution : INRAE</v>
      </c>
      <c r="J26" t="str">
        <f t="shared" ref="J26:J33" si="11">_xlfn.REGEXREPLACE(F26,"https://cropontology.org/term/","")</f>
        <v>CO_356:1000288</v>
      </c>
    </row>
    <row r="27" spans="1:10" x14ac:dyDescent="0.25">
      <c r="A27" t="s">
        <v>2981</v>
      </c>
      <c r="B27" t="s">
        <v>2985</v>
      </c>
      <c r="C27" t="s">
        <v>2982</v>
      </c>
      <c r="D27" t="s">
        <v>2983</v>
      </c>
      <c r="E27" t="str">
        <f t="shared" si="0"/>
        <v>https://vignevin.github.io/methodo/fiche_rdt.html</v>
      </c>
      <c r="F27" t="s">
        <v>657</v>
      </c>
      <c r="G27" t="str">
        <f>VLOOKUP(F27,'Sheet 1'!$A$1:$O$355,2,FALSE)</f>
        <v>HARVEST_DOY</v>
      </c>
      <c r="H27" t="str">
        <f>VLOOKUP(F27,'Sheet 1'!$A$1:$O$355,3,FALSE)</f>
        <v>Harvest date (Day of year)</v>
      </c>
      <c r="I27" t="str">
        <f>VLOOKUP(F27,'Sheet 1'!$A$1:$O$355,4,FALSE)</f>
        <v>Harvest date (Day of year)
Creator : Eric Duchene
Institution : INRAE</v>
      </c>
      <c r="J27" t="str">
        <f t="shared" si="11"/>
        <v>CO_356:1000289</v>
      </c>
    </row>
    <row r="28" spans="1:10" x14ac:dyDescent="0.25">
      <c r="A28" t="s">
        <v>2981</v>
      </c>
      <c r="B28" t="s">
        <v>2985</v>
      </c>
      <c r="C28" t="s">
        <v>2982</v>
      </c>
      <c r="D28" t="s">
        <v>2983</v>
      </c>
      <c r="E28" t="str">
        <f t="shared" si="0"/>
        <v>https://vignevin.github.io/methodo/fiche_rdt.html</v>
      </c>
      <c r="F28" t="s">
        <v>2927</v>
      </c>
      <c r="G28" t="str">
        <f>VLOOKUP(F28,'Sheet 1'!$A$1:$O$355,2,FALSE)</f>
        <v>YIELD_PLANT</v>
      </c>
      <c r="H28" t="str">
        <f>VLOOKUP(F28,'Sheet 1'!$A$1:$O$355,3,FALSE)</f>
        <v>Grapes_Weight</v>
      </c>
      <c r="I28" t="str">
        <f>VLOOKUP(F28,'Sheet 1'!$A$1:$O$355,4,FALSE)</f>
        <v>NULL</v>
      </c>
      <c r="J28" t="str">
        <f t="shared" si="11"/>
        <v>CO_356:1000247</v>
      </c>
    </row>
    <row r="29" spans="1:10" x14ac:dyDescent="0.25">
      <c r="A29" t="s">
        <v>2981</v>
      </c>
      <c r="B29" t="s">
        <v>2985</v>
      </c>
      <c r="C29" t="s">
        <v>2982</v>
      </c>
      <c r="D29" t="s">
        <v>2983</v>
      </c>
      <c r="E29" t="str">
        <f t="shared" si="0"/>
        <v>https://vignevin.github.io/methodo/fiche_rdt.html</v>
      </c>
      <c r="F29" t="s">
        <v>2060</v>
      </c>
      <c r="G29" t="str">
        <f>VLOOKUP(F29,'Sheet 1'!$A$1:$O$355,2,FALSE)</f>
        <v>NB_CLUST_PLANT</v>
      </c>
      <c r="H29" t="str">
        <f>VLOOKUP(F29,'Sheet 1'!$A$1:$O$355,3,FALSE)</f>
        <v>Number of clusters per plant</v>
      </c>
      <c r="I29" t="str">
        <f>VLOOKUP(F29,'Sheet 1'!$A$1:$O$355,4,FALSE)</f>
        <v>Number of clusters per plant
Creator : Eric Duchene
Institution : INRAE</v>
      </c>
      <c r="J29" t="str">
        <f t="shared" si="11"/>
        <v>CO_356:1000158</v>
      </c>
    </row>
    <row r="30" spans="1:10" x14ac:dyDescent="0.25">
      <c r="A30" t="s">
        <v>2981</v>
      </c>
      <c r="B30" t="s">
        <v>2985</v>
      </c>
      <c r="C30" t="s">
        <v>2982</v>
      </c>
      <c r="D30" t="s">
        <v>2983</v>
      </c>
      <c r="E30" t="str">
        <f t="shared" si="0"/>
        <v>https://vignevin.github.io/methodo/fiche_rdt.html</v>
      </c>
      <c r="F30" t="s">
        <v>2137</v>
      </c>
      <c r="G30" t="str">
        <f>VLOOKUP(F30,'Sheet 1'!$A$1:$O$355,2,FALSE)</f>
        <v>NB_PLANT_M2</v>
      </c>
      <c r="H30" t="str">
        <f>VLOOKUP(F30,'Sheet 1'!$A$1:$O$355,3,FALSE)</f>
        <v>Number of plants per m2</v>
      </c>
      <c r="I30" t="str">
        <f>VLOOKUP(F30,'Sheet 1'!$A$1:$O$355,4,FALSE)</f>
        <v>Number of plants per m2
Creator : Eric Duchene
Institution : INRAE</v>
      </c>
      <c r="J30" t="str">
        <f t="shared" si="11"/>
        <v>CO_356:1000165</v>
      </c>
    </row>
    <row r="31" spans="1:10" x14ac:dyDescent="0.25">
      <c r="A31" t="s">
        <v>2981</v>
      </c>
      <c r="B31" t="s">
        <v>2985</v>
      </c>
      <c r="C31" t="s">
        <v>2982</v>
      </c>
      <c r="D31" t="s">
        <v>2983</v>
      </c>
      <c r="E31" t="str">
        <f t="shared" si="0"/>
        <v>https://vignevin.github.io/methodo/fiche_rdt.html</v>
      </c>
      <c r="F31" t="s">
        <v>2053</v>
      </c>
      <c r="G31" t="str">
        <f>VLOOKUP(F31,'Sheet 1'!$A$1:$O$355,2,FALSE)</f>
        <v>NB_CLUST_M2</v>
      </c>
      <c r="H31" t="str">
        <f>VLOOKUP(F31,'Sheet 1'!$A$1:$O$355,3,FALSE)</f>
        <v>Number of clusters per m2</v>
      </c>
      <c r="I31" t="str">
        <f>VLOOKUP(F31,'Sheet 1'!$A$1:$O$355,4,FALSE)</f>
        <v>Number of clusters per m2
Creator : Eric Duchene
Institution : INRAE</v>
      </c>
      <c r="J31" t="str">
        <f t="shared" si="11"/>
        <v>CO_356:1000271</v>
      </c>
    </row>
    <row r="32" spans="1:10" x14ac:dyDescent="0.25">
      <c r="A32" t="s">
        <v>2981</v>
      </c>
      <c r="B32" t="s">
        <v>2985</v>
      </c>
      <c r="C32" t="s">
        <v>2982</v>
      </c>
      <c r="D32" t="s">
        <v>2983</v>
      </c>
      <c r="E32" t="str">
        <f t="shared" si="0"/>
        <v>https://vignevin.github.io/methodo/fiche_rdt.html</v>
      </c>
      <c r="F32" t="s">
        <v>2550</v>
      </c>
      <c r="G32" t="str">
        <f>VLOOKUP(F32,'Sheet 1'!$A$1:$O$355,2,FALSE)</f>
        <v>SCLUST_W_G</v>
      </c>
      <c r="H32" t="str">
        <f>VLOOKUP(F32,'Sheet 1'!$A$1:$O$355,3,FALSE)</f>
        <v>Cluster weight</v>
      </c>
      <c r="I32" t="str">
        <f>VLOOKUP(F32,'Sheet 1'!$A$1:$O$355,4,FALSE)</f>
        <v>Cluster weight
Creator : Eric Duchene
Institution : INRAE</v>
      </c>
      <c r="J32" t="str">
        <f t="shared" si="11"/>
        <v>CO_356:1000048</v>
      </c>
    </row>
    <row r="33" spans="1:10" x14ac:dyDescent="0.25">
      <c r="A33" t="s">
        <v>2981</v>
      </c>
      <c r="B33" t="s">
        <v>2985</v>
      </c>
      <c r="C33" t="s">
        <v>2982</v>
      </c>
      <c r="D33" t="s">
        <v>2983</v>
      </c>
      <c r="E33" t="str">
        <f t="shared" si="0"/>
        <v>https://vignevin.github.io/methodo/fiche_rdt.html</v>
      </c>
      <c r="F33" t="s">
        <v>2533</v>
      </c>
      <c r="G33" t="str">
        <f>VLOOKUP(F33,'Sheet 1'!$A$1:$O$355,2,FALSE)</f>
        <v>SBER_W_g</v>
      </c>
      <c r="H33" t="str">
        <f>VLOOKUP(F33,'Sheet 1'!$A$1:$O$355,3,FALSE)</f>
        <v>Single berry weight</v>
      </c>
      <c r="I33" t="str">
        <f>VLOOKUP(F33,'Sheet 1'!$A$1:$O$355,4,FALSE)</f>
        <v>Single berry weight
Creator : Eric Duchene
Institution : INRAE</v>
      </c>
      <c r="J33" t="str">
        <f t="shared" si="11"/>
        <v>CO_356:1000215</v>
      </c>
    </row>
    <row r="34" spans="1:10" x14ac:dyDescent="0.25">
      <c r="A34" t="s">
        <v>2989</v>
      </c>
      <c r="B34" t="s">
        <v>2986</v>
      </c>
      <c r="C34" t="s">
        <v>2984</v>
      </c>
      <c r="D34" t="s">
        <v>2987</v>
      </c>
      <c r="E34" t="str">
        <f t="shared" si="0"/>
        <v>https://vignevin.github.io/methodo/fiche_matu.html</v>
      </c>
      <c r="F34" t="s">
        <v>2533</v>
      </c>
      <c r="G34" t="str">
        <f>VLOOKUP(F34,'Sheet 1'!$A$1:$O$355,2,FALSE)</f>
        <v>SBER_W_g</v>
      </c>
      <c r="H34" t="str">
        <f>VLOOKUP(F34,'Sheet 1'!$A$1:$O$355,3,FALSE)</f>
        <v>Single berry weight</v>
      </c>
      <c r="I34" t="str">
        <f>VLOOKUP(F34,'Sheet 1'!$A$1:$O$355,4,FALSE)</f>
        <v>Single berry weight
Creator : Eric Duchene
Institution : INRAE</v>
      </c>
      <c r="J34" t="str">
        <f t="shared" ref="J34:J46" si="12">_xlfn.REGEXREPLACE(F34,"https://cropontology.org/term/","")</f>
        <v>CO_356:1000215</v>
      </c>
    </row>
    <row r="35" spans="1:10" x14ac:dyDescent="0.25">
      <c r="A35" t="s">
        <v>2989</v>
      </c>
      <c r="B35" t="s">
        <v>2986</v>
      </c>
      <c r="C35" t="s">
        <v>2984</v>
      </c>
      <c r="D35" t="s">
        <v>2987</v>
      </c>
      <c r="E35" t="str">
        <f t="shared" si="0"/>
        <v>https://vignevin.github.io/methodo/fiche_matu.html</v>
      </c>
      <c r="F35" t="s">
        <v>223</v>
      </c>
      <c r="G35" t="str">
        <f>VLOOKUP(F35,'Sheet 1'!$A$1:$O$355,2,FALSE)</f>
        <v>BERRY_SUG_g</v>
      </c>
      <c r="H35" t="str">
        <f>VLOOKUP(F35,'Sheet 1'!$A$1:$O$355,3,FALSE)</f>
        <v>Berry Sugar concentration (g/l)</v>
      </c>
      <c r="I35" t="str">
        <f>VLOOKUP(F35,'Sheet 1'!$A$1:$O$355,4,FALSE)</f>
        <v>Berry Sugar concentration (g/l)
Creator : Eric Duchene
Institution : INRAE</v>
      </c>
      <c r="J35" t="str">
        <f t="shared" si="12"/>
        <v>CO_356:1000217</v>
      </c>
    </row>
    <row r="36" spans="1:10" x14ac:dyDescent="0.25">
      <c r="A36" t="s">
        <v>2989</v>
      </c>
      <c r="B36" t="s">
        <v>2986</v>
      </c>
      <c r="C36" t="s">
        <v>2984</v>
      </c>
      <c r="D36" t="s">
        <v>2987</v>
      </c>
      <c r="E36" t="str">
        <f t="shared" si="0"/>
        <v>https://vignevin.github.io/methodo/fiche_matu.html</v>
      </c>
      <c r="F36" t="s">
        <v>628</v>
      </c>
      <c r="G36" t="str">
        <f>VLOOKUP(F36,'Sheet 1'!$A$1:$O$355,2,FALSE)</f>
        <v>GLUFRU</v>
      </c>
      <c r="H36" t="str">
        <f>VLOOKUP(F36,'Sheet 1'!$A$1:$O$355,3,FALSE)</f>
        <v>Glucose and fructose concentration</v>
      </c>
      <c r="I36" t="str">
        <f>VLOOKUP(F36,'Sheet 1'!$A$1:$O$355,4,FALSE)</f>
        <v>Glucose and fructose concentration
Creator : Eric Duchene
Institution : INRAE</v>
      </c>
      <c r="J36" t="str">
        <f t="shared" si="12"/>
        <v>CO_356:1000086</v>
      </c>
    </row>
    <row r="37" spans="1:10" x14ac:dyDescent="0.25">
      <c r="A37" t="s">
        <v>2989</v>
      </c>
      <c r="B37" t="s">
        <v>2986</v>
      </c>
      <c r="C37" t="s">
        <v>2984</v>
      </c>
      <c r="D37" t="s">
        <v>2987</v>
      </c>
      <c r="E37" t="str">
        <f t="shared" si="0"/>
        <v>https://vignevin.github.io/methodo/fiche_matu.html</v>
      </c>
      <c r="F37" t="s">
        <v>213</v>
      </c>
      <c r="G37" t="str">
        <f>VLOOKUP(F37,'Sheet 1'!$A$1:$O$355,2,FALSE)</f>
        <v>BERRY_pH</v>
      </c>
      <c r="H37" t="str">
        <f>VLOOKUP(F37,'Sheet 1'!$A$1:$O$355,3,FALSE)</f>
        <v>Berry pH</v>
      </c>
      <c r="I37" t="str">
        <f>VLOOKUP(F37,'Sheet 1'!$A$1:$O$355,4,FALSE)</f>
        <v>Berry pH
Creator : Eric Duchene
Institution : INRAE</v>
      </c>
      <c r="J37" t="str">
        <f t="shared" si="12"/>
        <v>CO_356:1000184</v>
      </c>
    </row>
    <row r="38" spans="1:10" x14ac:dyDescent="0.25">
      <c r="A38" t="s">
        <v>2989</v>
      </c>
      <c r="B38" t="s">
        <v>2986</v>
      </c>
      <c r="C38" t="s">
        <v>2984</v>
      </c>
      <c r="D38" t="s">
        <v>2987</v>
      </c>
      <c r="E38" t="str">
        <f t="shared" si="0"/>
        <v>https://vignevin.github.io/methodo/fiche_matu.html</v>
      </c>
      <c r="F38" t="s">
        <v>96</v>
      </c>
      <c r="G38" t="str">
        <f>VLOOKUP(F38,'Sheet 1'!$A$1:$O$355,2,FALSE)</f>
        <v>BER_TA_man_g</v>
      </c>
      <c r="H38" t="str">
        <f>VLOOKUP(F38,'Sheet 1'!$A$1:$O$355,3,FALSE)</f>
        <v>Berry tiratable acidity (manual titration, g/l H2SO4)</v>
      </c>
      <c r="I38" t="str">
        <f>VLOOKUP(F38,'Sheet 1'!$A$1:$O$355,4,FALSE)</f>
        <v>Berry tiratable acidity (manual titration, g/l H2SO4)
Creator : Eric Duchene
Institution : INRAE</v>
      </c>
      <c r="J38" t="str">
        <f t="shared" si="12"/>
        <v>CO_356:1000303</v>
      </c>
    </row>
    <row r="39" spans="1:10" x14ac:dyDescent="0.25">
      <c r="A39" t="s">
        <v>2989</v>
      </c>
      <c r="B39" t="s">
        <v>2986</v>
      </c>
      <c r="C39" t="s">
        <v>2984</v>
      </c>
      <c r="D39" t="s">
        <v>2987</v>
      </c>
      <c r="E39" t="str">
        <f t="shared" si="0"/>
        <v>https://vignevin.github.io/methodo/fiche_matu.html</v>
      </c>
      <c r="F39" t="s">
        <v>112</v>
      </c>
      <c r="G39" t="str">
        <f>VLOOKUP(F39,'Sheet 1'!$A$1:$O$355,2,FALSE)</f>
        <v>BER_TART_HPLC_g</v>
      </c>
      <c r="H39" t="str">
        <f>VLOOKUP(F39,'Sheet 1'!$A$1:$O$355,3,FALSE)</f>
        <v>Tartaric acid concentration in the berries (HPLC, g/l)</v>
      </c>
      <c r="I39" t="str">
        <f>VLOOKUP(F39,'Sheet 1'!$A$1:$O$355,4,FALSE)</f>
        <v>Tartaric acid concentration in the berries (HPLC, g/l)
Creator : Eric Duchene
Institution : INRAE</v>
      </c>
      <c r="J39" t="str">
        <f t="shared" si="12"/>
        <v>CO_356:1000301</v>
      </c>
    </row>
    <row r="40" spans="1:10" x14ac:dyDescent="0.25">
      <c r="A40" t="s">
        <v>2989</v>
      </c>
      <c r="B40" t="s">
        <v>2986</v>
      </c>
      <c r="C40" t="s">
        <v>2984</v>
      </c>
      <c r="D40" t="s">
        <v>2987</v>
      </c>
      <c r="E40" t="str">
        <f t="shared" si="0"/>
        <v>https://vignevin.github.io/methodo/fiche_matu.html</v>
      </c>
      <c r="F40" t="s">
        <v>43</v>
      </c>
      <c r="G40" t="str">
        <f>VLOOKUP(F40,'Sheet 1'!$A$1:$O$355,2,FALSE)</f>
        <v>BER_MAL_g</v>
      </c>
      <c r="H40" t="str">
        <f>VLOOKUP(F40,'Sheet 1'!$A$1:$O$355,3,FALSE)</f>
        <v>Malic acid concentration of the berries (Enzym., g/l)</v>
      </c>
      <c r="I40" t="str">
        <f>VLOOKUP(F40,'Sheet 1'!$A$1:$O$355,4,FALSE)</f>
        <v>Malic acid concentration of the berries (Enzym., g/l)
Creator : Eric Duchene
Institution : INRAE</v>
      </c>
      <c r="J40" t="str">
        <f t="shared" si="12"/>
        <v>CO_356:1000298</v>
      </c>
    </row>
    <row r="41" spans="1:10" x14ac:dyDescent="0.25">
      <c r="A41" t="s">
        <v>2989</v>
      </c>
      <c r="B41" t="s">
        <v>2986</v>
      </c>
      <c r="C41" t="s">
        <v>2984</v>
      </c>
      <c r="D41" t="s">
        <v>2987</v>
      </c>
      <c r="E41" t="str">
        <f t="shared" si="0"/>
        <v>https://vignevin.github.io/methodo/fiche_matu.html</v>
      </c>
      <c r="F41" t="s">
        <v>56</v>
      </c>
      <c r="G41" t="str">
        <f>VLOOKUP(F41,'Sheet 1'!$A$1:$O$355,2,FALSE)</f>
        <v>BER_MAL_HPLC</v>
      </c>
      <c r="H41" t="str">
        <f>VLOOKUP(F41,'Sheet 1'!$A$1:$O$355,3,FALSE)</f>
        <v>Malic acid concentration of the berries (HPLC, g/l)</v>
      </c>
      <c r="I41" t="str">
        <f>VLOOKUP(F41,'Sheet 1'!$A$1:$O$355,4,FALSE)</f>
        <v>Malic acid concentration of the berries (HPLC, g/l)
Creator : Eric Duchene
Institution : INRAE</v>
      </c>
      <c r="J41" t="str">
        <f t="shared" si="12"/>
        <v>CO_356:1000299</v>
      </c>
    </row>
    <row r="42" spans="1:10" x14ac:dyDescent="0.25">
      <c r="A42" t="s">
        <v>2989</v>
      </c>
      <c r="B42" t="s">
        <v>2986</v>
      </c>
      <c r="C42" t="s">
        <v>2984</v>
      </c>
      <c r="D42" t="s">
        <v>2987</v>
      </c>
      <c r="E42" t="str">
        <f t="shared" si="0"/>
        <v>https://vignevin.github.io/methodo/fiche_matu.html</v>
      </c>
      <c r="F42" t="s">
        <v>197</v>
      </c>
      <c r="G42" t="str">
        <f>VLOOKUP(F42,'Sheet 1'!$A$1:$O$355,2,FALSE)</f>
        <v>BERRY_N_NH4&amp;AA</v>
      </c>
      <c r="H42" t="str">
        <f>VLOOKUP(F42,'Sheet 1'!$A$1:$O$355,3,FALSE)</f>
        <v>Berry nitrogen content (sum of N-NH4 and N-amino ac.)</v>
      </c>
      <c r="I42" t="str">
        <f>VLOOKUP(F42,'Sheet 1'!$A$1:$O$355,4,FALSE)</f>
        <v>Berry nitrogen content (sum of N-NH4 and N-amino ac.)
Creator : Eric Duchene
Institution : INRAE</v>
      </c>
      <c r="J42" t="str">
        <f t="shared" si="12"/>
        <v>CO_356:1000535</v>
      </c>
    </row>
    <row r="43" spans="1:10" x14ac:dyDescent="0.25">
      <c r="A43" t="s">
        <v>2989</v>
      </c>
      <c r="B43" t="s">
        <v>2986</v>
      </c>
      <c r="C43" t="s">
        <v>2984</v>
      </c>
      <c r="D43" t="s">
        <v>2987</v>
      </c>
      <c r="E43" t="str">
        <f t="shared" si="0"/>
        <v>https://vignevin.github.io/methodo/fiche_matu.html</v>
      </c>
      <c r="F43" t="s">
        <v>186</v>
      </c>
      <c r="G43" t="str">
        <f>VLOOKUP(F43,'Sheet 1'!$A$1:$O$355,2,FALSE)</f>
        <v>BERRY_N_NH4</v>
      </c>
      <c r="H43" t="str">
        <f>VLOOKUP(F43,'Sheet 1'!$A$1:$O$355,3,FALSE)</f>
        <v>Berry nitrogen content (ammoniacal, enz. mg/l)</v>
      </c>
      <c r="I43" t="str">
        <f>VLOOKUP(F43,'Sheet 1'!$A$1:$O$355,4,FALSE)</f>
        <v>Berry nitrogen content (ammoniacal, enz. mg/l)
Creator : Eric Duchene
Institution : INRAE</v>
      </c>
      <c r="J43" t="str">
        <f t="shared" si="12"/>
        <v>CO_356:1000352</v>
      </c>
    </row>
    <row r="44" spans="1:10" x14ac:dyDescent="0.25">
      <c r="A44" t="s">
        <v>2989</v>
      </c>
      <c r="B44" t="s">
        <v>2986</v>
      </c>
      <c r="C44" t="s">
        <v>2984</v>
      </c>
      <c r="D44" t="s">
        <v>2987</v>
      </c>
      <c r="E44" t="str">
        <f t="shared" si="0"/>
        <v>https://vignevin.github.io/methodo/fiche_matu.html</v>
      </c>
      <c r="F44" t="s">
        <v>175</v>
      </c>
      <c r="G44" t="str">
        <f>VLOOKUP(F44,'Sheet 1'!$A$1:$O$355,2,FALSE)</f>
        <v>BERRY_N_AA</v>
      </c>
      <c r="H44" t="str">
        <f>VLOOKUP(F44,'Sheet 1'!$A$1:$O$355,3,FALSE)</f>
        <v>Berry Nitrogen content (amino ac.,col, mg/l)</v>
      </c>
      <c r="I44" t="str">
        <f>VLOOKUP(F44,'Sheet 1'!$A$1:$O$355,4,FALSE)</f>
        <v>Berry Nitrogen content (amino ac.,col, mg/l)
Creator : Eric Duchene
Institution : INRAE</v>
      </c>
      <c r="J44" t="str">
        <f t="shared" si="12"/>
        <v>CO_356:1000351</v>
      </c>
    </row>
    <row r="45" spans="1:10" x14ac:dyDescent="0.25">
      <c r="A45" t="s">
        <v>2989</v>
      </c>
      <c r="B45" t="s">
        <v>2986</v>
      </c>
      <c r="C45" t="s">
        <v>2984</v>
      </c>
      <c r="D45" t="s">
        <v>2987</v>
      </c>
      <c r="E45" t="str">
        <f t="shared" si="0"/>
        <v>https://vignevin.github.io/methodo/fiche_matu.html</v>
      </c>
      <c r="F45" t="s">
        <v>139</v>
      </c>
      <c r="G45" t="str">
        <f>VLOOKUP(F45,'Sheet 1'!$A$1:$O$355,2,FALSE)</f>
        <v>BERRY_DO280</v>
      </c>
      <c r="H45" t="str">
        <f>VLOOKUP(F45,'Sheet 1'!$A$1:$O$355,3,FALSE)</f>
        <v>Berry Total Phenolic Content (DO 280)</v>
      </c>
      <c r="I45" t="str">
        <f>VLOOKUP(F45,'Sheet 1'!$A$1:$O$355,4,FALSE)</f>
        <v>Berry Total Phenolic Content (DO 280)
Creator : Eric Duchene
Institution : INRAE</v>
      </c>
      <c r="J45" t="str">
        <f t="shared" si="12"/>
        <v>CO_356:1000237</v>
      </c>
    </row>
    <row r="46" spans="1:10" x14ac:dyDescent="0.25">
      <c r="A46" t="s">
        <v>2989</v>
      </c>
      <c r="B46" t="s">
        <v>2986</v>
      </c>
      <c r="C46" t="s">
        <v>2984</v>
      </c>
      <c r="D46" t="s">
        <v>2987</v>
      </c>
      <c r="E46" t="str">
        <f t="shared" si="0"/>
        <v>https://vignevin.github.io/methodo/fiche_matu.html</v>
      </c>
      <c r="F46" t="s">
        <v>152</v>
      </c>
      <c r="G46" t="str">
        <f>VLOOKUP(F46,'Sheet 1'!$A$1:$O$355,2,FALSE)</f>
        <v>BERRY_K</v>
      </c>
      <c r="H46" t="str">
        <f>VLOOKUP(F46,'Sheet 1'!$A$1:$O$355,3,FALSE)</f>
        <v>Potassium concentration in the berries (flame spec., mg/l)</v>
      </c>
      <c r="I46" t="str">
        <f>VLOOKUP(F46,'Sheet 1'!$A$1:$O$355,4,FALSE)</f>
        <v>Potassium concentration in the berries (flame spec., mg/l)
Creator : Eric Duchene
Institution : INRAE</v>
      </c>
      <c r="J46" t="str">
        <f t="shared" si="12"/>
        <v>CO_356:1000187</v>
      </c>
    </row>
  </sheetData>
  <phoneticPr fontId="2" type="noConversion"/>
  <hyperlinks>
    <hyperlink ref="F2" r:id="rId1" xr:uid="{657AF543-5F29-4F5A-8888-D87BDE6711BC}"/>
    <hyperlink ref="F15" r:id="rId2" xr:uid="{ABBA7A02-29D6-4451-8AE2-9C4D6205C27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55"/>
  <sheetViews>
    <sheetView topLeftCell="A61" workbookViewId="0">
      <selection activeCell="D1" sqref="D1"/>
    </sheetView>
  </sheetViews>
  <sheetFormatPr baseColWidth="10" defaultRowHeight="15" x14ac:dyDescent="0.25"/>
  <cols>
    <col min="10" max="10" width="23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17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34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</row>
    <row r="4" spans="1:15" x14ac:dyDescent="0.25">
      <c r="A4" t="s">
        <v>43</v>
      </c>
      <c r="B4" t="s">
        <v>44</v>
      </c>
      <c r="C4" t="s">
        <v>45</v>
      </c>
      <c r="D4" t="s">
        <v>46</v>
      </c>
      <c r="E4" t="s">
        <v>47</v>
      </c>
      <c r="F4" t="s">
        <v>48</v>
      </c>
      <c r="G4" t="s">
        <v>49</v>
      </c>
      <c r="H4" t="s">
        <v>50</v>
      </c>
      <c r="I4" t="s">
        <v>51</v>
      </c>
      <c r="J4" t="s">
        <v>52</v>
      </c>
      <c r="K4" t="s">
        <v>38</v>
      </c>
      <c r="L4" t="s">
        <v>39</v>
      </c>
      <c r="M4" t="s">
        <v>53</v>
      </c>
      <c r="N4" t="s">
        <v>54</v>
      </c>
      <c r="O4" t="s">
        <v>55</v>
      </c>
    </row>
    <row r="5" spans="1:15" x14ac:dyDescent="0.25">
      <c r="A5" t="s">
        <v>56</v>
      </c>
      <c r="B5" t="s">
        <v>57</v>
      </c>
      <c r="C5" t="s">
        <v>58</v>
      </c>
      <c r="D5" t="s">
        <v>59</v>
      </c>
      <c r="E5" t="s">
        <v>47</v>
      </c>
      <c r="F5" t="s">
        <v>48</v>
      </c>
      <c r="G5" t="s">
        <v>49</v>
      </c>
      <c r="H5" t="s">
        <v>50</v>
      </c>
      <c r="I5" t="s">
        <v>51</v>
      </c>
      <c r="J5" t="s">
        <v>52</v>
      </c>
      <c r="K5" t="s">
        <v>38</v>
      </c>
      <c r="L5" t="s">
        <v>39</v>
      </c>
      <c r="M5" t="s">
        <v>60</v>
      </c>
      <c r="N5" t="s">
        <v>61</v>
      </c>
      <c r="O5" t="s">
        <v>62</v>
      </c>
    </row>
    <row r="6" spans="1:15" x14ac:dyDescent="0.25">
      <c r="A6" t="s">
        <v>63</v>
      </c>
      <c r="B6" t="s">
        <v>64</v>
      </c>
      <c r="C6" t="s">
        <v>65</v>
      </c>
      <c r="D6" t="s">
        <v>66</v>
      </c>
      <c r="E6" t="s">
        <v>67</v>
      </c>
      <c r="F6" t="s">
        <v>68</v>
      </c>
      <c r="G6" t="s">
        <v>69</v>
      </c>
      <c r="H6" t="s">
        <v>70</v>
      </c>
      <c r="I6" t="s">
        <v>71</v>
      </c>
      <c r="J6" t="s">
        <v>72</v>
      </c>
      <c r="K6" t="s">
        <v>38</v>
      </c>
      <c r="L6" t="s">
        <v>39</v>
      </c>
      <c r="M6" t="s">
        <v>73</v>
      </c>
      <c r="N6" t="s">
        <v>74</v>
      </c>
      <c r="O6" t="s">
        <v>75</v>
      </c>
    </row>
    <row r="7" spans="1:15" x14ac:dyDescent="0.25">
      <c r="A7" t="s">
        <v>76</v>
      </c>
      <c r="B7" t="s">
        <v>77</v>
      </c>
      <c r="C7" t="s">
        <v>78</v>
      </c>
      <c r="D7" t="s">
        <v>79</v>
      </c>
      <c r="E7" t="s">
        <v>67</v>
      </c>
      <c r="F7" t="s">
        <v>68</v>
      </c>
      <c r="G7" t="s">
        <v>69</v>
      </c>
      <c r="H7" t="s">
        <v>70</v>
      </c>
      <c r="I7" t="s">
        <v>80</v>
      </c>
      <c r="J7" t="s">
        <v>81</v>
      </c>
      <c r="K7" t="s">
        <v>38</v>
      </c>
      <c r="L7" t="s">
        <v>39</v>
      </c>
      <c r="M7" t="s">
        <v>82</v>
      </c>
      <c r="N7" t="s">
        <v>83</v>
      </c>
      <c r="O7" t="s">
        <v>84</v>
      </c>
    </row>
    <row r="8" spans="1:15" x14ac:dyDescent="0.25">
      <c r="A8" t="s">
        <v>85</v>
      </c>
      <c r="B8" t="s">
        <v>86</v>
      </c>
      <c r="C8" t="s">
        <v>87</v>
      </c>
      <c r="D8" t="s">
        <v>88</v>
      </c>
      <c r="E8" t="s">
        <v>89</v>
      </c>
      <c r="F8" t="s">
        <v>90</v>
      </c>
      <c r="G8" t="s">
        <v>21</v>
      </c>
      <c r="H8" t="s">
        <v>17</v>
      </c>
      <c r="I8" t="s">
        <v>91</v>
      </c>
      <c r="J8" t="s">
        <v>92</v>
      </c>
      <c r="K8" t="s">
        <v>38</v>
      </c>
      <c r="L8" t="s">
        <v>39</v>
      </c>
      <c r="M8" t="s">
        <v>93</v>
      </c>
      <c r="N8" t="s">
        <v>94</v>
      </c>
      <c r="O8" t="s">
        <v>95</v>
      </c>
    </row>
    <row r="9" spans="1:15" x14ac:dyDescent="0.25">
      <c r="A9" t="s">
        <v>96</v>
      </c>
      <c r="B9" t="s">
        <v>97</v>
      </c>
      <c r="C9" t="s">
        <v>98</v>
      </c>
      <c r="D9" t="s">
        <v>99</v>
      </c>
      <c r="E9" t="s">
        <v>89</v>
      </c>
      <c r="F9" t="s">
        <v>90</v>
      </c>
      <c r="G9" t="s">
        <v>21</v>
      </c>
      <c r="H9" t="s">
        <v>17</v>
      </c>
      <c r="I9" t="s">
        <v>91</v>
      </c>
      <c r="J9" t="s">
        <v>92</v>
      </c>
      <c r="K9" t="s">
        <v>38</v>
      </c>
      <c r="L9" t="s">
        <v>39</v>
      </c>
      <c r="M9" t="s">
        <v>100</v>
      </c>
      <c r="N9" t="s">
        <v>101</v>
      </c>
      <c r="O9" t="s">
        <v>102</v>
      </c>
    </row>
    <row r="10" spans="1:15" x14ac:dyDescent="0.25">
      <c r="A10" t="s">
        <v>103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 t="s">
        <v>49</v>
      </c>
      <c r="H10" t="s">
        <v>50</v>
      </c>
      <c r="I10" t="s">
        <v>51</v>
      </c>
      <c r="J10" t="s">
        <v>52</v>
      </c>
      <c r="K10" t="s">
        <v>38</v>
      </c>
      <c r="L10" t="s">
        <v>39</v>
      </c>
      <c r="M10" t="s">
        <v>109</v>
      </c>
      <c r="N10" t="s">
        <v>110</v>
      </c>
      <c r="O10" t="s">
        <v>111</v>
      </c>
    </row>
    <row r="11" spans="1:15" x14ac:dyDescent="0.25">
      <c r="A11" t="s">
        <v>112</v>
      </c>
      <c r="B11" t="s">
        <v>113</v>
      </c>
      <c r="C11" t="s">
        <v>114</v>
      </c>
      <c r="D11" t="s">
        <v>115</v>
      </c>
      <c r="E11" t="s">
        <v>107</v>
      </c>
      <c r="F11" t="s">
        <v>108</v>
      </c>
      <c r="G11" t="s">
        <v>49</v>
      </c>
      <c r="H11" t="s">
        <v>50</v>
      </c>
      <c r="I11" t="s">
        <v>51</v>
      </c>
      <c r="J11" t="s">
        <v>52</v>
      </c>
      <c r="K11" t="s">
        <v>38</v>
      </c>
      <c r="L11" t="s">
        <v>39</v>
      </c>
      <c r="M11" t="s">
        <v>60</v>
      </c>
      <c r="N11" t="s">
        <v>61</v>
      </c>
      <c r="O11" t="s">
        <v>116</v>
      </c>
    </row>
    <row r="12" spans="1:15" x14ac:dyDescent="0.25">
      <c r="A12" t="s">
        <v>117</v>
      </c>
      <c r="B12" t="s">
        <v>118</v>
      </c>
      <c r="C12" t="s">
        <v>119</v>
      </c>
      <c r="D12" t="s">
        <v>120</v>
      </c>
      <c r="E12" t="s">
        <v>121</v>
      </c>
      <c r="F12" t="s">
        <v>122</v>
      </c>
      <c r="G12" t="s">
        <v>123</v>
      </c>
      <c r="H12" t="s">
        <v>124</v>
      </c>
      <c r="I12" t="s">
        <v>125</v>
      </c>
      <c r="J12" t="s">
        <v>126</v>
      </c>
      <c r="K12" t="s">
        <v>38</v>
      </c>
      <c r="L12" t="s">
        <v>39</v>
      </c>
      <c r="M12" t="s">
        <v>127</v>
      </c>
      <c r="N12" t="s">
        <v>128</v>
      </c>
      <c r="O12" t="s">
        <v>129</v>
      </c>
    </row>
    <row r="13" spans="1:15" x14ac:dyDescent="0.25">
      <c r="A13" t="s">
        <v>130</v>
      </c>
      <c r="B13" t="s">
        <v>131</v>
      </c>
      <c r="C13" t="s">
        <v>132</v>
      </c>
      <c r="D13" t="s">
        <v>133</v>
      </c>
      <c r="E13" t="s">
        <v>134</v>
      </c>
      <c r="F13" t="s">
        <v>135</v>
      </c>
      <c r="G13" t="s">
        <v>136</v>
      </c>
      <c r="H13" t="s">
        <v>137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138</v>
      </c>
    </row>
    <row r="14" spans="1:15" x14ac:dyDescent="0.25">
      <c r="A14" t="s">
        <v>139</v>
      </c>
      <c r="B14" t="s">
        <v>140</v>
      </c>
      <c r="C14" t="s">
        <v>141</v>
      </c>
      <c r="D14" t="s">
        <v>142</v>
      </c>
      <c r="E14" t="s">
        <v>143</v>
      </c>
      <c r="F14" t="s">
        <v>144</v>
      </c>
      <c r="G14" t="s">
        <v>145</v>
      </c>
      <c r="H14" t="s">
        <v>146</v>
      </c>
      <c r="I14" t="s">
        <v>147</v>
      </c>
      <c r="J14" t="s">
        <v>148</v>
      </c>
      <c r="K14" t="s">
        <v>38</v>
      </c>
      <c r="L14" t="s">
        <v>39</v>
      </c>
      <c r="M14" t="s">
        <v>149</v>
      </c>
      <c r="N14" t="s">
        <v>150</v>
      </c>
      <c r="O14" t="s">
        <v>151</v>
      </c>
    </row>
    <row r="15" spans="1:15" x14ac:dyDescent="0.25">
      <c r="A15" t="s">
        <v>152</v>
      </c>
      <c r="B15" t="s">
        <v>153</v>
      </c>
      <c r="C15" t="s">
        <v>154</v>
      </c>
      <c r="D15" t="s">
        <v>155</v>
      </c>
      <c r="E15" t="s">
        <v>33</v>
      </c>
      <c r="F15" t="s">
        <v>34</v>
      </c>
      <c r="G15" t="s">
        <v>35</v>
      </c>
      <c r="H15" t="s">
        <v>34</v>
      </c>
      <c r="I15" t="s">
        <v>36</v>
      </c>
      <c r="J15" t="s">
        <v>37</v>
      </c>
      <c r="K15" t="s">
        <v>38</v>
      </c>
      <c r="L15" t="s">
        <v>39</v>
      </c>
      <c r="M15" t="s">
        <v>156</v>
      </c>
      <c r="N15" t="s">
        <v>157</v>
      </c>
      <c r="O15" t="s">
        <v>158</v>
      </c>
    </row>
    <row r="16" spans="1:15" x14ac:dyDescent="0.25">
      <c r="A16" t="s">
        <v>159</v>
      </c>
      <c r="B16" t="s">
        <v>160</v>
      </c>
      <c r="C16" t="s">
        <v>161</v>
      </c>
      <c r="D16" t="s">
        <v>162</v>
      </c>
      <c r="E16" t="s">
        <v>47</v>
      </c>
      <c r="F16" t="s">
        <v>48</v>
      </c>
      <c r="G16" t="s">
        <v>49</v>
      </c>
      <c r="H16" t="s">
        <v>50</v>
      </c>
      <c r="I16" t="s">
        <v>163</v>
      </c>
      <c r="J16" t="s">
        <v>164</v>
      </c>
      <c r="K16" t="s">
        <v>38</v>
      </c>
      <c r="L16" t="s">
        <v>39</v>
      </c>
      <c r="M16" t="s">
        <v>53</v>
      </c>
      <c r="N16" t="s">
        <v>54</v>
      </c>
      <c r="O16" t="s">
        <v>165</v>
      </c>
    </row>
    <row r="17" spans="1:15" x14ac:dyDescent="0.25">
      <c r="A17" t="s">
        <v>166</v>
      </c>
      <c r="B17" t="s">
        <v>167</v>
      </c>
      <c r="C17" t="s">
        <v>168</v>
      </c>
      <c r="D17" t="s">
        <v>169</v>
      </c>
      <c r="E17" t="s">
        <v>170</v>
      </c>
      <c r="F17" t="s">
        <v>171</v>
      </c>
      <c r="G17" t="s">
        <v>172</v>
      </c>
      <c r="H17" t="s">
        <v>173</v>
      </c>
      <c r="I17" t="s">
        <v>36</v>
      </c>
      <c r="J17" t="s">
        <v>37</v>
      </c>
      <c r="K17" t="s">
        <v>38</v>
      </c>
      <c r="L17" t="s">
        <v>39</v>
      </c>
      <c r="M17" t="s">
        <v>40</v>
      </c>
      <c r="N17" t="s">
        <v>41</v>
      </c>
      <c r="O17" t="s">
        <v>174</v>
      </c>
    </row>
    <row r="18" spans="1:15" x14ac:dyDescent="0.25">
      <c r="A18" t="s">
        <v>175</v>
      </c>
      <c r="B18" t="s">
        <v>176</v>
      </c>
      <c r="C18" t="s">
        <v>177</v>
      </c>
      <c r="D18" t="s">
        <v>178</v>
      </c>
      <c r="E18" t="s">
        <v>179</v>
      </c>
      <c r="F18" t="s">
        <v>180</v>
      </c>
      <c r="G18" t="s">
        <v>181</v>
      </c>
      <c r="H18" t="s">
        <v>182</v>
      </c>
      <c r="I18" t="s">
        <v>36</v>
      </c>
      <c r="J18" t="s">
        <v>37</v>
      </c>
      <c r="K18" t="s">
        <v>38</v>
      </c>
      <c r="L18" t="s">
        <v>39</v>
      </c>
      <c r="M18" t="s">
        <v>183</v>
      </c>
      <c r="N18" t="s">
        <v>184</v>
      </c>
      <c r="O18" t="s">
        <v>185</v>
      </c>
    </row>
    <row r="19" spans="1:15" x14ac:dyDescent="0.25">
      <c r="A19" t="s">
        <v>186</v>
      </c>
      <c r="B19" t="s">
        <v>187</v>
      </c>
      <c r="C19" t="s">
        <v>188</v>
      </c>
      <c r="D19" t="s">
        <v>189</v>
      </c>
      <c r="E19" t="s">
        <v>190</v>
      </c>
      <c r="F19" t="s">
        <v>191</v>
      </c>
      <c r="G19" t="s">
        <v>192</v>
      </c>
      <c r="H19" t="s">
        <v>193</v>
      </c>
      <c r="I19" t="s">
        <v>36</v>
      </c>
      <c r="J19" t="s">
        <v>37</v>
      </c>
      <c r="K19" t="s">
        <v>38</v>
      </c>
      <c r="L19" t="s">
        <v>39</v>
      </c>
      <c r="M19" t="s">
        <v>194</v>
      </c>
      <c r="N19" t="s">
        <v>195</v>
      </c>
      <c r="O19" t="s">
        <v>196</v>
      </c>
    </row>
    <row r="20" spans="1:15" x14ac:dyDescent="0.25">
      <c r="A20" t="s">
        <v>197</v>
      </c>
      <c r="B20" t="s">
        <v>198</v>
      </c>
      <c r="C20" t="s">
        <v>199</v>
      </c>
      <c r="D20" t="s">
        <v>200</v>
      </c>
      <c r="E20" t="s">
        <v>190</v>
      </c>
      <c r="F20" t="s">
        <v>191</v>
      </c>
      <c r="G20" t="s">
        <v>201</v>
      </c>
      <c r="H20" t="s">
        <v>202</v>
      </c>
      <c r="I20" t="s">
        <v>36</v>
      </c>
      <c r="J20" t="s">
        <v>37</v>
      </c>
      <c r="K20" t="s">
        <v>38</v>
      </c>
      <c r="L20" t="s">
        <v>39</v>
      </c>
      <c r="M20" t="s">
        <v>203</v>
      </c>
      <c r="N20" t="s">
        <v>204</v>
      </c>
      <c r="O20" t="s">
        <v>205</v>
      </c>
    </row>
    <row r="21" spans="1:15" x14ac:dyDescent="0.25">
      <c r="A21" t="s">
        <v>206</v>
      </c>
      <c r="B21" t="s">
        <v>207</v>
      </c>
      <c r="C21" t="s">
        <v>208</v>
      </c>
      <c r="D21" t="s">
        <v>209</v>
      </c>
      <c r="E21" t="s">
        <v>190</v>
      </c>
      <c r="F21" t="s">
        <v>191</v>
      </c>
      <c r="G21" t="s">
        <v>210</v>
      </c>
      <c r="H21" t="s">
        <v>211</v>
      </c>
      <c r="I21" t="s">
        <v>36</v>
      </c>
      <c r="J21" t="s">
        <v>37</v>
      </c>
      <c r="K21" t="s">
        <v>38</v>
      </c>
      <c r="L21" t="s">
        <v>39</v>
      </c>
      <c r="M21" t="s">
        <v>40</v>
      </c>
      <c r="N21" t="s">
        <v>41</v>
      </c>
      <c r="O21" t="s">
        <v>212</v>
      </c>
    </row>
    <row r="22" spans="1:15" x14ac:dyDescent="0.25">
      <c r="A22" t="s">
        <v>213</v>
      </c>
      <c r="B22" t="s">
        <v>214</v>
      </c>
      <c r="C22" t="s">
        <v>215</v>
      </c>
      <c r="D22" t="s">
        <v>216</v>
      </c>
      <c r="E22" t="s">
        <v>217</v>
      </c>
      <c r="F22" t="s">
        <v>218</v>
      </c>
      <c r="G22" t="s">
        <v>21</v>
      </c>
      <c r="H22" t="s">
        <v>17</v>
      </c>
      <c r="I22" t="s">
        <v>219</v>
      </c>
      <c r="J22" t="s">
        <v>218</v>
      </c>
      <c r="K22" t="s">
        <v>38</v>
      </c>
      <c r="L22" t="s">
        <v>39</v>
      </c>
      <c r="M22" t="s">
        <v>220</v>
      </c>
      <c r="N22" t="s">
        <v>221</v>
      </c>
      <c r="O22" t="s">
        <v>222</v>
      </c>
    </row>
    <row r="23" spans="1:15" x14ac:dyDescent="0.25">
      <c r="A23" t="s">
        <v>223</v>
      </c>
      <c r="B23" t="s">
        <v>224</v>
      </c>
      <c r="C23" t="s">
        <v>225</v>
      </c>
      <c r="D23" t="s">
        <v>226</v>
      </c>
      <c r="E23" t="s">
        <v>227</v>
      </c>
      <c r="F23" t="s">
        <v>228</v>
      </c>
      <c r="G23" t="s">
        <v>229</v>
      </c>
      <c r="H23" t="s">
        <v>230</v>
      </c>
      <c r="I23" t="s">
        <v>51</v>
      </c>
      <c r="J23" t="s">
        <v>52</v>
      </c>
      <c r="K23" t="s">
        <v>38</v>
      </c>
      <c r="L23" t="s">
        <v>39</v>
      </c>
      <c r="M23" t="s">
        <v>231</v>
      </c>
      <c r="N23" t="s">
        <v>232</v>
      </c>
      <c r="O23" t="s">
        <v>233</v>
      </c>
    </row>
    <row r="24" spans="1:15" x14ac:dyDescent="0.25">
      <c r="A24" t="s">
        <v>234</v>
      </c>
      <c r="B24" t="s">
        <v>235</v>
      </c>
      <c r="C24" t="s">
        <v>236</v>
      </c>
      <c r="D24" t="s">
        <v>237</v>
      </c>
      <c r="E24" t="s">
        <v>89</v>
      </c>
      <c r="F24" t="s">
        <v>90</v>
      </c>
      <c r="G24" t="s">
        <v>21</v>
      </c>
      <c r="H24" t="s">
        <v>17</v>
      </c>
      <c r="I24" t="s">
        <v>163</v>
      </c>
      <c r="J24" t="s">
        <v>164</v>
      </c>
      <c r="K24" t="s">
        <v>38</v>
      </c>
      <c r="L24" t="s">
        <v>39</v>
      </c>
      <c r="M24" t="s">
        <v>93</v>
      </c>
      <c r="N24" t="s">
        <v>94</v>
      </c>
      <c r="O24" t="s">
        <v>238</v>
      </c>
    </row>
    <row r="25" spans="1:15" x14ac:dyDescent="0.25">
      <c r="A25" t="s">
        <v>239</v>
      </c>
      <c r="B25" t="s">
        <v>240</v>
      </c>
      <c r="C25" t="s">
        <v>241</v>
      </c>
      <c r="D25" t="s">
        <v>242</v>
      </c>
      <c r="E25" t="s">
        <v>107</v>
      </c>
      <c r="F25" t="s">
        <v>108</v>
      </c>
      <c r="G25" t="s">
        <v>49</v>
      </c>
      <c r="H25" t="s">
        <v>50</v>
      </c>
      <c r="I25" t="s">
        <v>163</v>
      </c>
      <c r="J25" t="s">
        <v>164</v>
      </c>
      <c r="K25" t="s">
        <v>38</v>
      </c>
      <c r="L25" t="s">
        <v>39</v>
      </c>
      <c r="M25" t="s">
        <v>109</v>
      </c>
      <c r="N25" t="s">
        <v>110</v>
      </c>
      <c r="O25" t="s">
        <v>243</v>
      </c>
    </row>
    <row r="26" spans="1:15" x14ac:dyDescent="0.25">
      <c r="A26" t="s">
        <v>244</v>
      </c>
      <c r="B26" t="s">
        <v>245</v>
      </c>
      <c r="C26" t="s">
        <v>246</v>
      </c>
      <c r="D26" t="s">
        <v>247</v>
      </c>
      <c r="E26" t="s">
        <v>248</v>
      </c>
      <c r="F26" t="s">
        <v>249</v>
      </c>
      <c r="G26" t="s">
        <v>250</v>
      </c>
      <c r="H26" t="s">
        <v>251</v>
      </c>
      <c r="I26" t="s">
        <v>252</v>
      </c>
      <c r="J26" t="s">
        <v>253</v>
      </c>
      <c r="K26" t="s">
        <v>38</v>
      </c>
      <c r="L26" t="s">
        <v>39</v>
      </c>
      <c r="M26" t="s">
        <v>127</v>
      </c>
      <c r="N26" t="s">
        <v>128</v>
      </c>
      <c r="O26" t="s">
        <v>254</v>
      </c>
    </row>
    <row r="27" spans="1:15" x14ac:dyDescent="0.25">
      <c r="A27" t="s">
        <v>255</v>
      </c>
      <c r="B27" t="s">
        <v>256</v>
      </c>
      <c r="C27" t="s">
        <v>257</v>
      </c>
      <c r="D27" t="s">
        <v>258</v>
      </c>
      <c r="E27" t="s">
        <v>259</v>
      </c>
      <c r="F27" t="s">
        <v>260</v>
      </c>
      <c r="G27" t="s">
        <v>250</v>
      </c>
      <c r="H27" t="s">
        <v>251</v>
      </c>
      <c r="I27" t="s">
        <v>252</v>
      </c>
      <c r="J27" t="s">
        <v>253</v>
      </c>
      <c r="K27" t="s">
        <v>38</v>
      </c>
      <c r="L27" t="s">
        <v>39</v>
      </c>
      <c r="M27" t="s">
        <v>127</v>
      </c>
      <c r="N27" t="s">
        <v>128</v>
      </c>
      <c r="O27" t="s">
        <v>261</v>
      </c>
    </row>
    <row r="28" spans="1:15" x14ac:dyDescent="0.25">
      <c r="A28" t="s">
        <v>262</v>
      </c>
      <c r="B28" t="s">
        <v>263</v>
      </c>
      <c r="C28" t="s">
        <v>264</v>
      </c>
      <c r="D28" t="s">
        <v>265</v>
      </c>
      <c r="E28" t="s">
        <v>266</v>
      </c>
      <c r="F28" t="s">
        <v>267</v>
      </c>
      <c r="G28" t="s">
        <v>250</v>
      </c>
      <c r="H28" t="s">
        <v>251</v>
      </c>
      <c r="I28" t="s">
        <v>252</v>
      </c>
      <c r="J28" t="s">
        <v>253</v>
      </c>
      <c r="K28" t="s">
        <v>38</v>
      </c>
      <c r="L28" t="s">
        <v>39</v>
      </c>
      <c r="M28" t="s">
        <v>127</v>
      </c>
      <c r="N28" t="s">
        <v>128</v>
      </c>
      <c r="O28" t="s">
        <v>268</v>
      </c>
    </row>
    <row r="29" spans="1:15" x14ac:dyDescent="0.25">
      <c r="A29" t="s">
        <v>269</v>
      </c>
      <c r="B29" t="s">
        <v>270</v>
      </c>
      <c r="C29" t="s">
        <v>271</v>
      </c>
      <c r="D29" t="s">
        <v>272</v>
      </c>
      <c r="E29" t="s">
        <v>273</v>
      </c>
      <c r="F29" t="s">
        <v>274</v>
      </c>
      <c r="G29" t="s">
        <v>250</v>
      </c>
      <c r="H29" t="s">
        <v>251</v>
      </c>
      <c r="I29" t="s">
        <v>252</v>
      </c>
      <c r="J29" t="s">
        <v>253</v>
      </c>
      <c r="K29" t="s">
        <v>38</v>
      </c>
      <c r="L29" t="s">
        <v>39</v>
      </c>
      <c r="M29" t="s">
        <v>127</v>
      </c>
      <c r="N29" t="s">
        <v>128</v>
      </c>
      <c r="O29" t="s">
        <v>275</v>
      </c>
    </row>
    <row r="30" spans="1:15" x14ac:dyDescent="0.25">
      <c r="A30" t="s">
        <v>276</v>
      </c>
      <c r="B30" t="s">
        <v>277</v>
      </c>
      <c r="C30" t="s">
        <v>278</v>
      </c>
      <c r="D30" t="s">
        <v>279</v>
      </c>
      <c r="E30" t="s">
        <v>280</v>
      </c>
      <c r="F30" t="s">
        <v>281</v>
      </c>
      <c r="G30" t="s">
        <v>250</v>
      </c>
      <c r="H30" t="s">
        <v>251</v>
      </c>
      <c r="I30" t="s">
        <v>252</v>
      </c>
      <c r="J30" t="s">
        <v>253</v>
      </c>
      <c r="K30" t="s">
        <v>38</v>
      </c>
      <c r="L30" t="s">
        <v>39</v>
      </c>
      <c r="M30" t="s">
        <v>127</v>
      </c>
      <c r="N30" t="s">
        <v>128</v>
      </c>
      <c r="O30" t="s">
        <v>282</v>
      </c>
    </row>
    <row r="31" spans="1:15" x14ac:dyDescent="0.25">
      <c r="A31" t="s">
        <v>283</v>
      </c>
      <c r="B31" t="s">
        <v>284</v>
      </c>
      <c r="C31" t="s">
        <v>285</v>
      </c>
      <c r="D31" t="s">
        <v>286</v>
      </c>
      <c r="E31" t="s">
        <v>287</v>
      </c>
      <c r="F31" t="s">
        <v>285</v>
      </c>
      <c r="G31" t="s">
        <v>288</v>
      </c>
      <c r="H31" t="s">
        <v>289</v>
      </c>
      <c r="I31" t="s">
        <v>80</v>
      </c>
      <c r="J31" t="s">
        <v>81</v>
      </c>
      <c r="K31" t="s">
        <v>38</v>
      </c>
      <c r="L31" t="s">
        <v>39</v>
      </c>
      <c r="M31" t="s">
        <v>82</v>
      </c>
      <c r="N31" t="s">
        <v>83</v>
      </c>
      <c r="O31" t="s">
        <v>290</v>
      </c>
    </row>
    <row r="32" spans="1:15" x14ac:dyDescent="0.25">
      <c r="A32" t="s">
        <v>291</v>
      </c>
      <c r="B32" t="s">
        <v>292</v>
      </c>
      <c r="C32" t="s">
        <v>293</v>
      </c>
      <c r="D32" t="s">
        <v>294</v>
      </c>
      <c r="E32" t="s">
        <v>295</v>
      </c>
      <c r="F32" t="s">
        <v>296</v>
      </c>
      <c r="G32" t="s">
        <v>297</v>
      </c>
      <c r="H32" t="s">
        <v>298</v>
      </c>
      <c r="I32" t="s">
        <v>299</v>
      </c>
      <c r="J32" t="s">
        <v>300</v>
      </c>
      <c r="K32" t="s">
        <v>301</v>
      </c>
      <c r="L32" t="s">
        <v>302</v>
      </c>
      <c r="M32" t="s">
        <v>303</v>
      </c>
      <c r="N32" t="s">
        <v>304</v>
      </c>
      <c r="O32" t="s">
        <v>305</v>
      </c>
    </row>
    <row r="33" spans="1:15" x14ac:dyDescent="0.25">
      <c r="A33" t="s">
        <v>306</v>
      </c>
      <c r="B33" t="s">
        <v>307</v>
      </c>
      <c r="C33" t="s">
        <v>308</v>
      </c>
      <c r="D33" t="s">
        <v>309</v>
      </c>
      <c r="E33" t="s">
        <v>310</v>
      </c>
      <c r="F33" t="s">
        <v>311</v>
      </c>
      <c r="G33" t="s">
        <v>312</v>
      </c>
      <c r="H33" t="s">
        <v>313</v>
      </c>
      <c r="I33" t="s">
        <v>80</v>
      </c>
      <c r="J33" t="s">
        <v>81</v>
      </c>
      <c r="K33" t="s">
        <v>38</v>
      </c>
      <c r="L33" t="s">
        <v>39</v>
      </c>
      <c r="M33" t="s">
        <v>82</v>
      </c>
      <c r="N33" t="s">
        <v>83</v>
      </c>
      <c r="O33" t="s">
        <v>314</v>
      </c>
    </row>
    <row r="34" spans="1:15" x14ac:dyDescent="0.25">
      <c r="A34" t="s">
        <v>315</v>
      </c>
      <c r="B34" t="s">
        <v>316</v>
      </c>
      <c r="C34" t="s">
        <v>317</v>
      </c>
      <c r="D34" t="s">
        <v>318</v>
      </c>
      <c r="E34" t="s">
        <v>319</v>
      </c>
      <c r="F34" t="s">
        <v>320</v>
      </c>
      <c r="G34" t="s">
        <v>312</v>
      </c>
      <c r="H34" t="s">
        <v>313</v>
      </c>
      <c r="I34" t="s">
        <v>321</v>
      </c>
      <c r="J34" t="s">
        <v>322</v>
      </c>
      <c r="K34" t="s">
        <v>323</v>
      </c>
      <c r="L34" t="s">
        <v>324</v>
      </c>
      <c r="M34" t="s">
        <v>325</v>
      </c>
      <c r="N34" t="s">
        <v>326</v>
      </c>
      <c r="O34" t="s">
        <v>327</v>
      </c>
    </row>
    <row r="35" spans="1:15" x14ac:dyDescent="0.25">
      <c r="A35" t="s">
        <v>328</v>
      </c>
      <c r="B35" t="s">
        <v>329</v>
      </c>
      <c r="C35" t="s">
        <v>330</v>
      </c>
      <c r="D35" t="s">
        <v>331</v>
      </c>
      <c r="E35" t="s">
        <v>332</v>
      </c>
      <c r="F35" t="s">
        <v>333</v>
      </c>
      <c r="G35" t="s">
        <v>312</v>
      </c>
      <c r="H35" t="s">
        <v>313</v>
      </c>
      <c r="I35" t="s">
        <v>299</v>
      </c>
      <c r="J35" t="s">
        <v>300</v>
      </c>
      <c r="K35" t="s">
        <v>301</v>
      </c>
      <c r="L35" t="s">
        <v>302</v>
      </c>
      <c r="M35" t="s">
        <v>334</v>
      </c>
      <c r="N35" t="s">
        <v>335</v>
      </c>
      <c r="O35" t="s">
        <v>336</v>
      </c>
    </row>
    <row r="36" spans="1:15" x14ac:dyDescent="0.25">
      <c r="A36" t="s">
        <v>337</v>
      </c>
      <c r="B36" t="s">
        <v>338</v>
      </c>
      <c r="C36" t="s">
        <v>339</v>
      </c>
      <c r="D36" t="s">
        <v>340</v>
      </c>
      <c r="E36" t="s">
        <v>332</v>
      </c>
      <c r="F36" t="s">
        <v>333</v>
      </c>
      <c r="G36" t="s">
        <v>312</v>
      </c>
      <c r="H36" t="s">
        <v>313</v>
      </c>
      <c r="I36" t="s">
        <v>299</v>
      </c>
      <c r="J36" t="s">
        <v>300</v>
      </c>
      <c r="K36" t="s">
        <v>301</v>
      </c>
      <c r="L36" t="s">
        <v>302</v>
      </c>
      <c r="M36" t="s">
        <v>341</v>
      </c>
      <c r="N36" t="s">
        <v>342</v>
      </c>
      <c r="O36" t="s">
        <v>343</v>
      </c>
    </row>
    <row r="37" spans="1:15" x14ac:dyDescent="0.25">
      <c r="A37" t="s">
        <v>344</v>
      </c>
      <c r="B37" t="s">
        <v>345</v>
      </c>
      <c r="C37" t="s">
        <v>346</v>
      </c>
      <c r="D37" t="s">
        <v>347</v>
      </c>
      <c r="E37" t="s">
        <v>348</v>
      </c>
      <c r="F37" t="s">
        <v>349</v>
      </c>
      <c r="G37" t="s">
        <v>350</v>
      </c>
      <c r="H37" t="s">
        <v>349</v>
      </c>
      <c r="I37" t="s">
        <v>351</v>
      </c>
      <c r="J37" t="s">
        <v>352</v>
      </c>
      <c r="K37" t="s">
        <v>353</v>
      </c>
      <c r="L37" t="s">
        <v>354</v>
      </c>
      <c r="M37" t="s">
        <v>355</v>
      </c>
      <c r="N37" t="s">
        <v>356</v>
      </c>
      <c r="O37" t="s">
        <v>357</v>
      </c>
    </row>
    <row r="38" spans="1:15" x14ac:dyDescent="0.25">
      <c r="A38" t="s">
        <v>358</v>
      </c>
      <c r="B38" t="s">
        <v>359</v>
      </c>
      <c r="C38" t="s">
        <v>360</v>
      </c>
      <c r="D38" t="s">
        <v>361</v>
      </c>
      <c r="E38" t="s">
        <v>348</v>
      </c>
      <c r="F38" t="s">
        <v>349</v>
      </c>
      <c r="G38" t="s">
        <v>350</v>
      </c>
      <c r="H38" t="s">
        <v>349</v>
      </c>
      <c r="I38" t="s">
        <v>299</v>
      </c>
      <c r="J38" t="s">
        <v>300</v>
      </c>
      <c r="K38" t="s">
        <v>353</v>
      </c>
      <c r="L38" t="s">
        <v>354</v>
      </c>
      <c r="M38" t="s">
        <v>362</v>
      </c>
      <c r="N38" t="s">
        <v>363</v>
      </c>
      <c r="O38" t="s">
        <v>364</v>
      </c>
    </row>
    <row r="39" spans="1:15" x14ac:dyDescent="0.25">
      <c r="A39" t="s">
        <v>365</v>
      </c>
      <c r="B39" t="s">
        <v>366</v>
      </c>
      <c r="C39" t="s">
        <v>367</v>
      </c>
      <c r="D39" t="s">
        <v>368</v>
      </c>
      <c r="E39" t="s">
        <v>369</v>
      </c>
      <c r="F39" t="s">
        <v>370</v>
      </c>
      <c r="G39" t="s">
        <v>371</v>
      </c>
      <c r="H39" t="s">
        <v>372</v>
      </c>
      <c r="I39" t="s">
        <v>299</v>
      </c>
      <c r="J39" t="s">
        <v>300</v>
      </c>
      <c r="K39" t="s">
        <v>373</v>
      </c>
      <c r="L39" t="s">
        <v>374</v>
      </c>
      <c r="M39" t="s">
        <v>375</v>
      </c>
      <c r="N39" t="s">
        <v>376</v>
      </c>
      <c r="O39" t="s">
        <v>377</v>
      </c>
    </row>
    <row r="40" spans="1:15" x14ac:dyDescent="0.25">
      <c r="A40" t="s">
        <v>378</v>
      </c>
      <c r="B40" t="s">
        <v>379</v>
      </c>
      <c r="C40" t="s">
        <v>380</v>
      </c>
      <c r="D40" t="s">
        <v>381</v>
      </c>
      <c r="E40" t="s">
        <v>382</v>
      </c>
      <c r="F40" t="s">
        <v>380</v>
      </c>
      <c r="G40" t="s">
        <v>383</v>
      </c>
      <c r="H40" t="s">
        <v>384</v>
      </c>
      <c r="I40" t="s">
        <v>80</v>
      </c>
      <c r="J40" t="s">
        <v>81</v>
      </c>
      <c r="K40" t="s">
        <v>38</v>
      </c>
      <c r="L40" t="s">
        <v>39</v>
      </c>
      <c r="M40" t="s">
        <v>82</v>
      </c>
      <c r="N40" t="s">
        <v>83</v>
      </c>
      <c r="O40" t="s">
        <v>385</v>
      </c>
    </row>
    <row r="41" spans="1:15" x14ac:dyDescent="0.25">
      <c r="A41" t="s">
        <v>386</v>
      </c>
      <c r="B41" t="s">
        <v>387</v>
      </c>
      <c r="C41" t="s">
        <v>388</v>
      </c>
      <c r="D41" t="s">
        <v>389</v>
      </c>
      <c r="E41" t="s">
        <v>390</v>
      </c>
      <c r="F41" t="s">
        <v>391</v>
      </c>
      <c r="G41" t="s">
        <v>392</v>
      </c>
      <c r="H41" t="s">
        <v>393</v>
      </c>
      <c r="I41" t="s">
        <v>394</v>
      </c>
      <c r="J41" t="s">
        <v>395</v>
      </c>
      <c r="K41" t="s">
        <v>301</v>
      </c>
      <c r="L41" t="s">
        <v>302</v>
      </c>
      <c r="M41" t="s">
        <v>396</v>
      </c>
      <c r="N41" t="s">
        <v>387</v>
      </c>
      <c r="O41" t="s">
        <v>397</v>
      </c>
    </row>
    <row r="42" spans="1:15" x14ac:dyDescent="0.25">
      <c r="A42" t="s">
        <v>398</v>
      </c>
      <c r="B42" t="s">
        <v>399</v>
      </c>
      <c r="C42" t="s">
        <v>400</v>
      </c>
      <c r="D42" t="s">
        <v>401</v>
      </c>
      <c r="E42" t="s">
        <v>390</v>
      </c>
      <c r="F42" t="s">
        <v>391</v>
      </c>
      <c r="G42" t="s">
        <v>392</v>
      </c>
      <c r="H42" t="s">
        <v>393</v>
      </c>
      <c r="I42" t="s">
        <v>394</v>
      </c>
      <c r="J42" t="s">
        <v>395</v>
      </c>
      <c r="K42" t="s">
        <v>301</v>
      </c>
      <c r="L42" t="s">
        <v>302</v>
      </c>
      <c r="M42" t="s">
        <v>402</v>
      </c>
      <c r="N42" t="s">
        <v>403</v>
      </c>
      <c r="O42" t="s">
        <v>404</v>
      </c>
    </row>
    <row r="43" spans="1:15" x14ac:dyDescent="0.25">
      <c r="A43" t="s">
        <v>405</v>
      </c>
      <c r="B43" t="s">
        <v>406</v>
      </c>
      <c r="C43" t="s">
        <v>407</v>
      </c>
      <c r="D43" t="s">
        <v>408</v>
      </c>
      <c r="E43" t="s">
        <v>390</v>
      </c>
      <c r="F43" t="s">
        <v>391</v>
      </c>
      <c r="G43" t="s">
        <v>392</v>
      </c>
      <c r="H43" t="s">
        <v>393</v>
      </c>
      <c r="I43" t="s">
        <v>409</v>
      </c>
      <c r="J43" t="s">
        <v>410</v>
      </c>
      <c r="K43" t="s">
        <v>301</v>
      </c>
      <c r="L43" t="s">
        <v>302</v>
      </c>
      <c r="M43" t="s">
        <v>411</v>
      </c>
      <c r="N43" t="s">
        <v>412</v>
      </c>
      <c r="O43" t="s">
        <v>413</v>
      </c>
    </row>
    <row r="44" spans="1:15" x14ac:dyDescent="0.25">
      <c r="A44" t="s">
        <v>414</v>
      </c>
      <c r="B44" t="s">
        <v>415</v>
      </c>
      <c r="C44" t="s">
        <v>416</v>
      </c>
      <c r="D44" t="s">
        <v>417</v>
      </c>
      <c r="E44" t="s">
        <v>390</v>
      </c>
      <c r="F44" t="s">
        <v>391</v>
      </c>
      <c r="G44" t="s">
        <v>392</v>
      </c>
      <c r="H44" t="s">
        <v>393</v>
      </c>
      <c r="I44" t="s">
        <v>80</v>
      </c>
      <c r="J44" t="s">
        <v>81</v>
      </c>
      <c r="K44" t="s">
        <v>301</v>
      </c>
      <c r="L44" t="s">
        <v>302</v>
      </c>
      <c r="M44" t="s">
        <v>418</v>
      </c>
      <c r="N44" t="s">
        <v>419</v>
      </c>
      <c r="O44" t="s">
        <v>420</v>
      </c>
    </row>
    <row r="45" spans="1:15" x14ac:dyDescent="0.25">
      <c r="A45" t="s">
        <v>421</v>
      </c>
      <c r="B45" t="s">
        <v>422</v>
      </c>
      <c r="C45" t="s">
        <v>423</v>
      </c>
      <c r="D45" t="s">
        <v>424</v>
      </c>
      <c r="E45" t="s">
        <v>390</v>
      </c>
      <c r="F45" t="s">
        <v>391</v>
      </c>
      <c r="G45" t="s">
        <v>392</v>
      </c>
      <c r="H45" t="s">
        <v>393</v>
      </c>
      <c r="I45" t="s">
        <v>80</v>
      </c>
      <c r="J45" t="s">
        <v>81</v>
      </c>
      <c r="K45" t="s">
        <v>301</v>
      </c>
      <c r="L45" t="s">
        <v>302</v>
      </c>
      <c r="M45" t="s">
        <v>425</v>
      </c>
      <c r="N45" t="s">
        <v>426</v>
      </c>
      <c r="O45" t="s">
        <v>427</v>
      </c>
    </row>
    <row r="46" spans="1:15" x14ac:dyDescent="0.25">
      <c r="A46" t="s">
        <v>428</v>
      </c>
      <c r="B46" t="s">
        <v>429</v>
      </c>
      <c r="C46" t="s">
        <v>430</v>
      </c>
      <c r="D46" t="s">
        <v>431</v>
      </c>
      <c r="E46" t="s">
        <v>348</v>
      </c>
      <c r="F46" t="s">
        <v>349</v>
      </c>
      <c r="G46" t="s">
        <v>350</v>
      </c>
      <c r="H46" t="s">
        <v>349</v>
      </c>
      <c r="I46" t="s">
        <v>432</v>
      </c>
      <c r="J46" t="s">
        <v>433</v>
      </c>
      <c r="K46" t="s">
        <v>353</v>
      </c>
      <c r="L46" t="s">
        <v>354</v>
      </c>
      <c r="M46" t="s">
        <v>355</v>
      </c>
      <c r="N46" t="s">
        <v>356</v>
      </c>
      <c r="O46" t="s">
        <v>434</v>
      </c>
    </row>
    <row r="47" spans="1:15" x14ac:dyDescent="0.25">
      <c r="A47" t="s">
        <v>435</v>
      </c>
      <c r="B47" t="s">
        <v>436</v>
      </c>
      <c r="C47" t="s">
        <v>437</v>
      </c>
      <c r="D47" t="s">
        <v>438</v>
      </c>
      <c r="E47" t="s">
        <v>439</v>
      </c>
      <c r="F47" t="s">
        <v>440</v>
      </c>
      <c r="G47" t="s">
        <v>441</v>
      </c>
      <c r="H47" t="s">
        <v>440</v>
      </c>
      <c r="I47" t="s">
        <v>432</v>
      </c>
      <c r="J47" t="s">
        <v>433</v>
      </c>
      <c r="K47" t="s">
        <v>353</v>
      </c>
      <c r="L47" t="s">
        <v>354</v>
      </c>
      <c r="M47" t="s">
        <v>355</v>
      </c>
      <c r="N47" t="s">
        <v>356</v>
      </c>
      <c r="O47" t="s">
        <v>442</v>
      </c>
    </row>
    <row r="48" spans="1:15" x14ac:dyDescent="0.25">
      <c r="A48" t="s">
        <v>443</v>
      </c>
      <c r="B48" t="s">
        <v>444</v>
      </c>
      <c r="C48" t="s">
        <v>445</v>
      </c>
      <c r="D48" t="s">
        <v>446</v>
      </c>
      <c r="E48" t="s">
        <v>447</v>
      </c>
      <c r="F48" t="s">
        <v>448</v>
      </c>
      <c r="G48" t="s">
        <v>449</v>
      </c>
      <c r="H48" t="s">
        <v>448</v>
      </c>
      <c r="I48" t="s">
        <v>432</v>
      </c>
      <c r="J48" t="s">
        <v>433</v>
      </c>
      <c r="K48" t="s">
        <v>353</v>
      </c>
      <c r="L48" t="s">
        <v>354</v>
      </c>
      <c r="M48" t="s">
        <v>355</v>
      </c>
      <c r="N48" t="s">
        <v>356</v>
      </c>
      <c r="O48" t="s">
        <v>450</v>
      </c>
    </row>
    <row r="49" spans="1:15" x14ac:dyDescent="0.25">
      <c r="A49" t="s">
        <v>451</v>
      </c>
      <c r="B49" t="s">
        <v>452</v>
      </c>
      <c r="C49" t="s">
        <v>453</v>
      </c>
      <c r="D49" t="s">
        <v>454</v>
      </c>
      <c r="E49" t="s">
        <v>455</v>
      </c>
      <c r="F49" t="s">
        <v>456</v>
      </c>
      <c r="G49" t="s">
        <v>457</v>
      </c>
      <c r="H49" t="s">
        <v>458</v>
      </c>
      <c r="I49" t="s">
        <v>299</v>
      </c>
      <c r="J49" t="s">
        <v>300</v>
      </c>
      <c r="K49" t="s">
        <v>353</v>
      </c>
      <c r="L49" t="s">
        <v>354</v>
      </c>
      <c r="M49" t="s">
        <v>459</v>
      </c>
      <c r="N49" t="s">
        <v>460</v>
      </c>
      <c r="O49" t="s">
        <v>461</v>
      </c>
    </row>
    <row r="50" spans="1:15" x14ac:dyDescent="0.25">
      <c r="A50" t="s">
        <v>462</v>
      </c>
      <c r="B50" t="s">
        <v>463</v>
      </c>
      <c r="C50" t="s">
        <v>464</v>
      </c>
      <c r="D50" t="s">
        <v>465</v>
      </c>
      <c r="E50" t="s">
        <v>466</v>
      </c>
      <c r="F50" t="s">
        <v>467</v>
      </c>
      <c r="G50" t="s">
        <v>468</v>
      </c>
      <c r="H50" t="s">
        <v>469</v>
      </c>
      <c r="I50" t="s">
        <v>470</v>
      </c>
      <c r="J50" t="s">
        <v>471</v>
      </c>
      <c r="K50" t="s">
        <v>301</v>
      </c>
      <c r="L50" t="s">
        <v>302</v>
      </c>
      <c r="M50" t="s">
        <v>472</v>
      </c>
      <c r="N50" t="s">
        <v>473</v>
      </c>
      <c r="O50" t="s">
        <v>474</v>
      </c>
    </row>
    <row r="51" spans="1:15" x14ac:dyDescent="0.25">
      <c r="A51" t="s">
        <v>475</v>
      </c>
      <c r="B51" t="s">
        <v>476</v>
      </c>
      <c r="C51" t="s">
        <v>477</v>
      </c>
      <c r="D51" t="s">
        <v>478</v>
      </c>
      <c r="E51" t="s">
        <v>479</v>
      </c>
      <c r="F51" t="s">
        <v>477</v>
      </c>
      <c r="G51" t="s">
        <v>480</v>
      </c>
      <c r="H51" t="s">
        <v>481</v>
      </c>
      <c r="I51" t="s">
        <v>482</v>
      </c>
      <c r="J51" t="s">
        <v>483</v>
      </c>
      <c r="K51" t="s">
        <v>484</v>
      </c>
      <c r="L51" t="s">
        <v>485</v>
      </c>
      <c r="M51" t="s">
        <v>486</v>
      </c>
      <c r="N51" t="s">
        <v>487</v>
      </c>
      <c r="O51" t="s">
        <v>488</v>
      </c>
    </row>
    <row r="52" spans="1:15" x14ac:dyDescent="0.25">
      <c r="A52" t="s">
        <v>489</v>
      </c>
      <c r="B52" t="s">
        <v>490</v>
      </c>
      <c r="C52" t="s">
        <v>491</v>
      </c>
      <c r="D52" t="s">
        <v>492</v>
      </c>
      <c r="E52" t="s">
        <v>493</v>
      </c>
      <c r="F52" t="s">
        <v>494</v>
      </c>
      <c r="G52" t="s">
        <v>480</v>
      </c>
      <c r="H52" t="s">
        <v>481</v>
      </c>
      <c r="I52" t="s">
        <v>482</v>
      </c>
      <c r="J52" t="s">
        <v>483</v>
      </c>
      <c r="K52" t="s">
        <v>484</v>
      </c>
      <c r="L52" t="s">
        <v>485</v>
      </c>
      <c r="M52" t="s">
        <v>486</v>
      </c>
      <c r="N52" t="s">
        <v>487</v>
      </c>
      <c r="O52" t="s">
        <v>495</v>
      </c>
    </row>
    <row r="53" spans="1:15" x14ac:dyDescent="0.25">
      <c r="A53" t="s">
        <v>496</v>
      </c>
      <c r="B53" t="s">
        <v>497</v>
      </c>
      <c r="C53" t="s">
        <v>498</v>
      </c>
      <c r="D53" t="s">
        <v>499</v>
      </c>
      <c r="E53" t="s">
        <v>500</v>
      </c>
      <c r="F53" t="s">
        <v>501</v>
      </c>
      <c r="G53" t="s">
        <v>480</v>
      </c>
      <c r="H53" t="s">
        <v>481</v>
      </c>
      <c r="I53" t="s">
        <v>502</v>
      </c>
      <c r="J53" t="s">
        <v>503</v>
      </c>
      <c r="K53" t="s">
        <v>484</v>
      </c>
      <c r="L53" t="s">
        <v>485</v>
      </c>
      <c r="M53" t="s">
        <v>504</v>
      </c>
      <c r="N53" t="s">
        <v>505</v>
      </c>
      <c r="O53" t="s">
        <v>506</v>
      </c>
    </row>
    <row r="54" spans="1:15" x14ac:dyDescent="0.25">
      <c r="A54" t="s">
        <v>507</v>
      </c>
      <c r="B54" t="s">
        <v>508</v>
      </c>
      <c r="C54" t="s">
        <v>509</v>
      </c>
      <c r="D54" t="s">
        <v>510</v>
      </c>
      <c r="E54" t="s">
        <v>511</v>
      </c>
      <c r="F54" t="s">
        <v>509</v>
      </c>
      <c r="G54" t="s">
        <v>480</v>
      </c>
      <c r="H54" t="s">
        <v>481</v>
      </c>
      <c r="I54" t="s">
        <v>482</v>
      </c>
      <c r="J54" t="s">
        <v>483</v>
      </c>
      <c r="K54" t="s">
        <v>484</v>
      </c>
      <c r="L54" t="s">
        <v>485</v>
      </c>
      <c r="M54" t="s">
        <v>486</v>
      </c>
      <c r="N54" t="s">
        <v>487</v>
      </c>
      <c r="O54" t="s">
        <v>512</v>
      </c>
    </row>
    <row r="55" spans="1:15" x14ac:dyDescent="0.25">
      <c r="A55" t="s">
        <v>513</v>
      </c>
      <c r="B55" t="s">
        <v>514</v>
      </c>
      <c r="C55" t="s">
        <v>515</v>
      </c>
      <c r="D55" t="s">
        <v>516</v>
      </c>
      <c r="E55" t="s">
        <v>517</v>
      </c>
      <c r="F55" t="s">
        <v>515</v>
      </c>
      <c r="G55" t="s">
        <v>480</v>
      </c>
      <c r="H55" t="s">
        <v>481</v>
      </c>
      <c r="I55" t="s">
        <v>482</v>
      </c>
      <c r="J55" t="s">
        <v>483</v>
      </c>
      <c r="K55" t="s">
        <v>484</v>
      </c>
      <c r="L55" t="s">
        <v>485</v>
      </c>
      <c r="M55" t="s">
        <v>486</v>
      </c>
      <c r="N55" t="s">
        <v>487</v>
      </c>
      <c r="O55" t="s">
        <v>518</v>
      </c>
    </row>
    <row r="56" spans="1:15" x14ac:dyDescent="0.25">
      <c r="A56" t="s">
        <v>519</v>
      </c>
      <c r="B56" t="s">
        <v>520</v>
      </c>
      <c r="C56" t="s">
        <v>521</v>
      </c>
      <c r="D56" t="s">
        <v>522</v>
      </c>
      <c r="E56" t="s">
        <v>523</v>
      </c>
      <c r="F56" t="s">
        <v>524</v>
      </c>
      <c r="G56" t="s">
        <v>480</v>
      </c>
      <c r="H56" t="s">
        <v>481</v>
      </c>
      <c r="I56" t="s">
        <v>482</v>
      </c>
      <c r="J56" t="s">
        <v>483</v>
      </c>
      <c r="K56" t="s">
        <v>484</v>
      </c>
      <c r="L56" t="s">
        <v>485</v>
      </c>
      <c r="M56" t="s">
        <v>486</v>
      </c>
      <c r="N56" t="s">
        <v>487</v>
      </c>
      <c r="O56" t="s">
        <v>525</v>
      </c>
    </row>
    <row r="57" spans="1:15" x14ac:dyDescent="0.25">
      <c r="A57" t="s">
        <v>526</v>
      </c>
      <c r="B57" t="s">
        <v>527</v>
      </c>
      <c r="C57" t="s">
        <v>528</v>
      </c>
      <c r="D57" t="s">
        <v>529</v>
      </c>
      <c r="E57" t="s">
        <v>530</v>
      </c>
      <c r="F57" t="s">
        <v>528</v>
      </c>
      <c r="G57" t="s">
        <v>480</v>
      </c>
      <c r="H57" t="s">
        <v>481</v>
      </c>
      <c r="I57" t="s">
        <v>482</v>
      </c>
      <c r="J57" t="s">
        <v>483</v>
      </c>
      <c r="K57" t="s">
        <v>484</v>
      </c>
      <c r="L57" t="s">
        <v>485</v>
      </c>
      <c r="M57" t="s">
        <v>486</v>
      </c>
      <c r="N57" t="s">
        <v>487</v>
      </c>
      <c r="O57" t="s">
        <v>531</v>
      </c>
    </row>
    <row r="58" spans="1:15" x14ac:dyDescent="0.25">
      <c r="A58" t="s">
        <v>532</v>
      </c>
      <c r="B58" t="s">
        <v>533</v>
      </c>
      <c r="C58" t="s">
        <v>534</v>
      </c>
      <c r="D58" t="s">
        <v>535</v>
      </c>
      <c r="E58" t="s">
        <v>439</v>
      </c>
      <c r="F58" t="s">
        <v>440</v>
      </c>
      <c r="G58" t="s">
        <v>441</v>
      </c>
      <c r="H58" t="s">
        <v>440</v>
      </c>
      <c r="I58" t="s">
        <v>351</v>
      </c>
      <c r="J58" t="s">
        <v>352</v>
      </c>
      <c r="K58" t="s">
        <v>353</v>
      </c>
      <c r="L58" t="s">
        <v>354</v>
      </c>
      <c r="M58" t="s">
        <v>355</v>
      </c>
      <c r="N58" t="s">
        <v>356</v>
      </c>
      <c r="O58" t="s">
        <v>536</v>
      </c>
    </row>
    <row r="59" spans="1:15" x14ac:dyDescent="0.25">
      <c r="A59" t="s">
        <v>537</v>
      </c>
      <c r="B59" t="s">
        <v>538</v>
      </c>
      <c r="C59" t="s">
        <v>539</v>
      </c>
      <c r="D59" t="s">
        <v>540</v>
      </c>
      <c r="E59" t="s">
        <v>439</v>
      </c>
      <c r="F59" t="s">
        <v>440</v>
      </c>
      <c r="G59" t="s">
        <v>441</v>
      </c>
      <c r="H59" t="s">
        <v>440</v>
      </c>
      <c r="I59" t="s">
        <v>351</v>
      </c>
      <c r="J59" t="s">
        <v>352</v>
      </c>
      <c r="K59" t="s">
        <v>353</v>
      </c>
      <c r="L59" t="s">
        <v>354</v>
      </c>
      <c r="M59" t="s">
        <v>355</v>
      </c>
      <c r="N59" t="s">
        <v>356</v>
      </c>
      <c r="O59" t="s">
        <v>541</v>
      </c>
    </row>
    <row r="60" spans="1:15" x14ac:dyDescent="0.25">
      <c r="A60" t="s">
        <v>542</v>
      </c>
      <c r="B60" t="s">
        <v>543</v>
      </c>
      <c r="C60" t="s">
        <v>544</v>
      </c>
      <c r="D60" t="s">
        <v>545</v>
      </c>
      <c r="E60" t="s">
        <v>439</v>
      </c>
      <c r="F60" t="s">
        <v>440</v>
      </c>
      <c r="G60" t="s">
        <v>441</v>
      </c>
      <c r="H60" t="s">
        <v>440</v>
      </c>
      <c r="I60" t="s">
        <v>299</v>
      </c>
      <c r="J60" t="s">
        <v>300</v>
      </c>
      <c r="K60" t="s">
        <v>353</v>
      </c>
      <c r="L60" t="s">
        <v>354</v>
      </c>
      <c r="M60" t="s">
        <v>546</v>
      </c>
      <c r="N60" t="s">
        <v>547</v>
      </c>
      <c r="O60" t="s">
        <v>548</v>
      </c>
    </row>
    <row r="61" spans="1:15" x14ac:dyDescent="0.25">
      <c r="A61" t="s">
        <v>549</v>
      </c>
      <c r="B61" t="s">
        <v>550</v>
      </c>
      <c r="C61" t="s">
        <v>551</v>
      </c>
      <c r="D61" t="s">
        <v>552</v>
      </c>
      <c r="E61" t="s">
        <v>439</v>
      </c>
      <c r="F61" t="s">
        <v>440</v>
      </c>
      <c r="G61" t="s">
        <v>441</v>
      </c>
      <c r="H61" t="s">
        <v>440</v>
      </c>
      <c r="I61" t="s">
        <v>351</v>
      </c>
      <c r="J61" t="s">
        <v>352</v>
      </c>
      <c r="K61" t="s">
        <v>353</v>
      </c>
      <c r="L61" t="s">
        <v>354</v>
      </c>
      <c r="M61" t="s">
        <v>355</v>
      </c>
      <c r="N61" t="s">
        <v>356</v>
      </c>
      <c r="O61" t="s">
        <v>553</v>
      </c>
    </row>
    <row r="62" spans="1:15" x14ac:dyDescent="0.25">
      <c r="A62" t="s">
        <v>554</v>
      </c>
      <c r="B62" t="s">
        <v>555</v>
      </c>
      <c r="C62" t="s">
        <v>556</v>
      </c>
      <c r="D62" t="s">
        <v>557</v>
      </c>
      <c r="E62" t="s">
        <v>466</v>
      </c>
      <c r="F62" t="s">
        <v>467</v>
      </c>
      <c r="G62" t="s">
        <v>468</v>
      </c>
      <c r="H62" t="s">
        <v>469</v>
      </c>
      <c r="I62" t="s">
        <v>80</v>
      </c>
      <c r="J62" t="s">
        <v>81</v>
      </c>
      <c r="K62" t="s">
        <v>301</v>
      </c>
      <c r="L62" t="s">
        <v>302</v>
      </c>
      <c r="M62" t="s">
        <v>558</v>
      </c>
      <c r="N62" t="s">
        <v>559</v>
      </c>
      <c r="O62" t="s">
        <v>560</v>
      </c>
    </row>
    <row r="63" spans="1:15" x14ac:dyDescent="0.25">
      <c r="A63" t="s">
        <v>561</v>
      </c>
      <c r="B63" t="s">
        <v>562</v>
      </c>
      <c r="C63" t="s">
        <v>563</v>
      </c>
      <c r="D63" t="s">
        <v>564</v>
      </c>
      <c r="E63" t="s">
        <v>565</v>
      </c>
      <c r="F63" t="s">
        <v>566</v>
      </c>
      <c r="G63" t="s">
        <v>383</v>
      </c>
      <c r="H63" t="s">
        <v>384</v>
      </c>
      <c r="I63" t="s">
        <v>80</v>
      </c>
      <c r="J63" t="s">
        <v>81</v>
      </c>
      <c r="K63" t="s">
        <v>484</v>
      </c>
      <c r="L63" t="s">
        <v>485</v>
      </c>
      <c r="M63" t="s">
        <v>567</v>
      </c>
      <c r="N63" t="s">
        <v>568</v>
      </c>
      <c r="O63" t="s">
        <v>569</v>
      </c>
    </row>
    <row r="64" spans="1:15" x14ac:dyDescent="0.25">
      <c r="A64" t="s">
        <v>570</v>
      </c>
      <c r="B64" t="s">
        <v>571</v>
      </c>
      <c r="C64" t="s">
        <v>572</v>
      </c>
      <c r="D64" t="s">
        <v>573</v>
      </c>
      <c r="E64" t="s">
        <v>565</v>
      </c>
      <c r="F64" t="s">
        <v>566</v>
      </c>
      <c r="G64" t="s">
        <v>574</v>
      </c>
      <c r="H64" t="s">
        <v>566</v>
      </c>
      <c r="I64" t="s">
        <v>299</v>
      </c>
      <c r="J64" t="s">
        <v>300</v>
      </c>
      <c r="K64" t="s">
        <v>484</v>
      </c>
      <c r="L64" t="s">
        <v>485</v>
      </c>
      <c r="M64" t="s">
        <v>575</v>
      </c>
      <c r="N64" t="s">
        <v>576</v>
      </c>
      <c r="O64" t="s">
        <v>577</v>
      </c>
    </row>
    <row r="65" spans="1:15" x14ac:dyDescent="0.25">
      <c r="A65" t="s">
        <v>578</v>
      </c>
      <c r="B65" t="s">
        <v>579</v>
      </c>
      <c r="C65" t="s">
        <v>580</v>
      </c>
      <c r="D65" t="s">
        <v>581</v>
      </c>
      <c r="E65" t="s">
        <v>582</v>
      </c>
      <c r="F65" t="s">
        <v>583</v>
      </c>
      <c r="G65" t="s">
        <v>35</v>
      </c>
      <c r="H65" t="s">
        <v>34</v>
      </c>
      <c r="I65" t="s">
        <v>36</v>
      </c>
      <c r="J65" t="s">
        <v>37</v>
      </c>
      <c r="K65" t="s">
        <v>584</v>
      </c>
      <c r="L65" t="s">
        <v>585</v>
      </c>
      <c r="M65" t="s">
        <v>40</v>
      </c>
      <c r="N65" t="s">
        <v>41</v>
      </c>
      <c r="O65" t="s">
        <v>586</v>
      </c>
    </row>
    <row r="66" spans="1:15" x14ac:dyDescent="0.25">
      <c r="A66" t="s">
        <v>587</v>
      </c>
      <c r="B66" t="s">
        <v>588</v>
      </c>
      <c r="C66" t="s">
        <v>589</v>
      </c>
      <c r="D66" t="s">
        <v>590</v>
      </c>
      <c r="E66" t="s">
        <v>591</v>
      </c>
      <c r="F66" t="s">
        <v>592</v>
      </c>
      <c r="G66" t="s">
        <v>49</v>
      </c>
      <c r="H66" t="s">
        <v>50</v>
      </c>
      <c r="I66" t="s">
        <v>51</v>
      </c>
      <c r="J66" t="s">
        <v>52</v>
      </c>
      <c r="K66" t="s">
        <v>584</v>
      </c>
      <c r="L66" t="s">
        <v>585</v>
      </c>
      <c r="M66" t="s">
        <v>53</v>
      </c>
      <c r="N66" t="s">
        <v>54</v>
      </c>
      <c r="O66" t="s">
        <v>593</v>
      </c>
    </row>
    <row r="67" spans="1:15" x14ac:dyDescent="0.25">
      <c r="A67" t="s">
        <v>594</v>
      </c>
      <c r="B67" t="s">
        <v>595</v>
      </c>
      <c r="C67" t="s">
        <v>596</v>
      </c>
      <c r="D67" t="s">
        <v>597</v>
      </c>
      <c r="E67" t="s">
        <v>598</v>
      </c>
      <c r="F67" t="s">
        <v>599</v>
      </c>
      <c r="G67" t="s">
        <v>600</v>
      </c>
      <c r="H67" t="s">
        <v>601</v>
      </c>
      <c r="I67" t="s">
        <v>36</v>
      </c>
      <c r="J67" t="s">
        <v>37</v>
      </c>
      <c r="K67" t="s">
        <v>584</v>
      </c>
      <c r="L67" t="s">
        <v>585</v>
      </c>
      <c r="M67" t="s">
        <v>203</v>
      </c>
      <c r="N67" t="s">
        <v>204</v>
      </c>
      <c r="O67" t="s">
        <v>602</v>
      </c>
    </row>
    <row r="68" spans="1:15" x14ac:dyDescent="0.25">
      <c r="A68" t="s">
        <v>603</v>
      </c>
      <c r="B68" t="s">
        <v>604</v>
      </c>
      <c r="C68" t="s">
        <v>605</v>
      </c>
      <c r="D68" t="s">
        <v>606</v>
      </c>
      <c r="E68" t="s">
        <v>607</v>
      </c>
      <c r="F68" t="s">
        <v>608</v>
      </c>
      <c r="G68" t="s">
        <v>609</v>
      </c>
      <c r="H68" t="s">
        <v>610</v>
      </c>
      <c r="I68" t="s">
        <v>36</v>
      </c>
      <c r="J68" t="s">
        <v>37</v>
      </c>
      <c r="K68" t="s">
        <v>584</v>
      </c>
      <c r="L68" t="s">
        <v>585</v>
      </c>
      <c r="M68" t="s">
        <v>194</v>
      </c>
      <c r="N68" t="s">
        <v>195</v>
      </c>
      <c r="O68" t="s">
        <v>611</v>
      </c>
    </row>
    <row r="69" spans="1:15" x14ac:dyDescent="0.25">
      <c r="A69" t="s">
        <v>612</v>
      </c>
      <c r="B69" t="s">
        <v>613</v>
      </c>
      <c r="C69" t="s">
        <v>614</v>
      </c>
      <c r="D69" t="s">
        <v>615</v>
      </c>
      <c r="E69" t="s">
        <v>616</v>
      </c>
      <c r="F69" t="s">
        <v>614</v>
      </c>
      <c r="G69" t="s">
        <v>617</v>
      </c>
      <c r="H69" t="s">
        <v>218</v>
      </c>
      <c r="I69" t="s">
        <v>219</v>
      </c>
      <c r="J69" t="s">
        <v>218</v>
      </c>
      <c r="K69" t="s">
        <v>584</v>
      </c>
      <c r="L69" t="s">
        <v>585</v>
      </c>
      <c r="M69" t="s">
        <v>220</v>
      </c>
      <c r="N69" t="s">
        <v>221</v>
      </c>
      <c r="O69" t="s">
        <v>618</v>
      </c>
    </row>
    <row r="70" spans="1:15" x14ac:dyDescent="0.25">
      <c r="A70" t="s">
        <v>619</v>
      </c>
      <c r="B70" t="s">
        <v>620</v>
      </c>
      <c r="C70" t="s">
        <v>621</v>
      </c>
      <c r="D70" t="s">
        <v>622</v>
      </c>
      <c r="E70" t="s">
        <v>623</v>
      </c>
      <c r="F70" t="s">
        <v>624</v>
      </c>
      <c r="G70" t="s">
        <v>625</v>
      </c>
      <c r="H70" t="s">
        <v>626</v>
      </c>
      <c r="I70" t="s">
        <v>51</v>
      </c>
      <c r="J70" t="s">
        <v>52</v>
      </c>
      <c r="K70" t="s">
        <v>584</v>
      </c>
      <c r="L70" t="s">
        <v>585</v>
      </c>
      <c r="M70" t="s">
        <v>109</v>
      </c>
      <c r="N70" t="s">
        <v>110</v>
      </c>
      <c r="O70" t="s">
        <v>627</v>
      </c>
    </row>
    <row r="71" spans="1:15" x14ac:dyDescent="0.25">
      <c r="A71" t="s">
        <v>628</v>
      </c>
      <c r="B71" t="s">
        <v>629</v>
      </c>
      <c r="C71" t="s">
        <v>630</v>
      </c>
      <c r="D71" t="s">
        <v>631</v>
      </c>
      <c r="E71" t="s">
        <v>632</v>
      </c>
      <c r="F71" t="s">
        <v>633</v>
      </c>
      <c r="G71" t="s">
        <v>229</v>
      </c>
      <c r="H71" t="s">
        <v>230</v>
      </c>
      <c r="I71" t="s">
        <v>36</v>
      </c>
      <c r="J71" t="s">
        <v>37</v>
      </c>
      <c r="K71" t="s">
        <v>38</v>
      </c>
      <c r="L71" t="s">
        <v>39</v>
      </c>
      <c r="M71" t="s">
        <v>634</v>
      </c>
      <c r="N71" t="s">
        <v>635</v>
      </c>
      <c r="O71" t="s">
        <v>636</v>
      </c>
    </row>
    <row r="72" spans="1:15" x14ac:dyDescent="0.25">
      <c r="A72" t="s">
        <v>637</v>
      </c>
      <c r="B72" t="s">
        <v>638</v>
      </c>
      <c r="C72" t="s">
        <v>639</v>
      </c>
      <c r="D72" t="s">
        <v>640</v>
      </c>
      <c r="E72" t="s">
        <v>641</v>
      </c>
      <c r="F72" t="s">
        <v>642</v>
      </c>
      <c r="G72" t="s">
        <v>643</v>
      </c>
      <c r="H72" t="s">
        <v>644</v>
      </c>
      <c r="I72" t="s">
        <v>36</v>
      </c>
      <c r="J72" t="s">
        <v>37</v>
      </c>
      <c r="K72" t="s">
        <v>584</v>
      </c>
      <c r="L72" t="s">
        <v>585</v>
      </c>
      <c r="M72" t="s">
        <v>183</v>
      </c>
      <c r="N72" t="s">
        <v>184</v>
      </c>
      <c r="O72" t="s">
        <v>645</v>
      </c>
    </row>
    <row r="73" spans="1:15" x14ac:dyDescent="0.25">
      <c r="A73" t="s">
        <v>646</v>
      </c>
      <c r="B73" t="s">
        <v>647</v>
      </c>
      <c r="C73" t="s">
        <v>648</v>
      </c>
      <c r="D73" t="s">
        <v>649</v>
      </c>
      <c r="E73" t="s">
        <v>650</v>
      </c>
      <c r="F73" t="s">
        <v>651</v>
      </c>
      <c r="G73" t="s">
        <v>652</v>
      </c>
      <c r="H73" t="s">
        <v>653</v>
      </c>
      <c r="I73" t="s">
        <v>351</v>
      </c>
      <c r="J73" t="s">
        <v>352</v>
      </c>
      <c r="K73" t="s">
        <v>353</v>
      </c>
      <c r="L73" t="s">
        <v>354</v>
      </c>
      <c r="M73" t="s">
        <v>654</v>
      </c>
      <c r="N73" t="s">
        <v>655</v>
      </c>
      <c r="O73" t="s">
        <v>656</v>
      </c>
    </row>
    <row r="74" spans="1:15" x14ac:dyDescent="0.25">
      <c r="A74" t="s">
        <v>657</v>
      </c>
      <c r="B74" t="s">
        <v>658</v>
      </c>
      <c r="C74" t="s">
        <v>659</v>
      </c>
      <c r="D74" t="s">
        <v>660</v>
      </c>
      <c r="E74" t="s">
        <v>650</v>
      </c>
      <c r="F74" t="s">
        <v>651</v>
      </c>
      <c r="G74" t="s">
        <v>652</v>
      </c>
      <c r="H74" t="s">
        <v>653</v>
      </c>
      <c r="I74" t="s">
        <v>432</v>
      </c>
      <c r="J74" t="s">
        <v>433</v>
      </c>
      <c r="K74" t="s">
        <v>353</v>
      </c>
      <c r="L74" t="s">
        <v>354</v>
      </c>
      <c r="M74" t="s">
        <v>654</v>
      </c>
      <c r="N74" t="s">
        <v>655</v>
      </c>
      <c r="O74" t="s">
        <v>661</v>
      </c>
    </row>
    <row r="75" spans="1:15" x14ac:dyDescent="0.25">
      <c r="A75" t="s">
        <v>662</v>
      </c>
      <c r="B75" t="s">
        <v>663</v>
      </c>
      <c r="C75" t="s">
        <v>664</v>
      </c>
      <c r="D75" t="s">
        <v>665</v>
      </c>
      <c r="E75" t="s">
        <v>348</v>
      </c>
      <c r="F75" t="s">
        <v>349</v>
      </c>
      <c r="G75" t="s">
        <v>350</v>
      </c>
      <c r="H75" t="s">
        <v>349</v>
      </c>
      <c r="I75" t="s">
        <v>666</v>
      </c>
      <c r="J75" t="s">
        <v>667</v>
      </c>
      <c r="K75" t="s">
        <v>353</v>
      </c>
      <c r="L75" t="s">
        <v>354</v>
      </c>
      <c r="M75" t="s">
        <v>668</v>
      </c>
      <c r="N75" t="s">
        <v>669</v>
      </c>
      <c r="O75" t="s">
        <v>670</v>
      </c>
    </row>
    <row r="76" spans="1:15" x14ac:dyDescent="0.25">
      <c r="A76" t="s">
        <v>671</v>
      </c>
      <c r="B76" t="s">
        <v>672</v>
      </c>
      <c r="C76" t="s">
        <v>673</v>
      </c>
      <c r="D76" t="s">
        <v>674</v>
      </c>
      <c r="E76" t="s">
        <v>447</v>
      </c>
      <c r="F76" t="s">
        <v>448</v>
      </c>
      <c r="G76" t="s">
        <v>449</v>
      </c>
      <c r="H76" t="s">
        <v>448</v>
      </c>
      <c r="I76" t="s">
        <v>666</v>
      </c>
      <c r="J76" t="s">
        <v>667</v>
      </c>
      <c r="K76" t="s">
        <v>353</v>
      </c>
      <c r="L76" t="s">
        <v>354</v>
      </c>
      <c r="M76" t="s">
        <v>668</v>
      </c>
      <c r="N76" t="s">
        <v>669</v>
      </c>
      <c r="O76" t="s">
        <v>675</v>
      </c>
    </row>
    <row r="77" spans="1:15" x14ac:dyDescent="0.25">
      <c r="A77" t="s">
        <v>676</v>
      </c>
      <c r="B77" t="s">
        <v>677</v>
      </c>
      <c r="C77" t="s">
        <v>678</v>
      </c>
      <c r="D77" t="s">
        <v>679</v>
      </c>
      <c r="E77" t="s">
        <v>439</v>
      </c>
      <c r="F77" t="s">
        <v>440</v>
      </c>
      <c r="G77" t="s">
        <v>441</v>
      </c>
      <c r="H77" t="s">
        <v>440</v>
      </c>
      <c r="I77" t="s">
        <v>666</v>
      </c>
      <c r="J77" t="s">
        <v>667</v>
      </c>
      <c r="K77" t="s">
        <v>353</v>
      </c>
      <c r="L77" t="s">
        <v>354</v>
      </c>
      <c r="M77" t="s">
        <v>668</v>
      </c>
      <c r="N77" t="s">
        <v>669</v>
      </c>
      <c r="O77" t="s">
        <v>680</v>
      </c>
    </row>
    <row r="78" spans="1:15" x14ac:dyDescent="0.25">
      <c r="A78" t="s">
        <v>681</v>
      </c>
      <c r="B78" t="s">
        <v>682</v>
      </c>
      <c r="C78" t="s">
        <v>683</v>
      </c>
      <c r="D78" t="s">
        <v>684</v>
      </c>
      <c r="E78" t="s">
        <v>685</v>
      </c>
      <c r="F78" t="s">
        <v>683</v>
      </c>
      <c r="G78" t="s">
        <v>686</v>
      </c>
      <c r="H78" t="s">
        <v>687</v>
      </c>
      <c r="I78" t="s">
        <v>688</v>
      </c>
      <c r="J78" t="s">
        <v>689</v>
      </c>
      <c r="K78" t="s">
        <v>690</v>
      </c>
      <c r="L78" t="s">
        <v>691</v>
      </c>
      <c r="M78" t="s">
        <v>692</v>
      </c>
      <c r="N78" t="s">
        <v>693</v>
      </c>
      <c r="O78" t="s">
        <v>694</v>
      </c>
    </row>
    <row r="79" spans="1:15" x14ac:dyDescent="0.25">
      <c r="A79" t="s">
        <v>695</v>
      </c>
      <c r="B79" t="s">
        <v>696</v>
      </c>
      <c r="C79" t="s">
        <v>697</v>
      </c>
      <c r="D79" t="s">
        <v>698</v>
      </c>
      <c r="E79" t="s">
        <v>699</v>
      </c>
      <c r="F79" t="s">
        <v>700</v>
      </c>
      <c r="G79" t="s">
        <v>701</v>
      </c>
      <c r="H79" t="s">
        <v>702</v>
      </c>
      <c r="I79" t="s">
        <v>299</v>
      </c>
      <c r="J79" t="s">
        <v>300</v>
      </c>
      <c r="K79" t="s">
        <v>690</v>
      </c>
      <c r="L79" t="s">
        <v>691</v>
      </c>
      <c r="M79" t="s">
        <v>703</v>
      </c>
      <c r="N79" t="s">
        <v>704</v>
      </c>
      <c r="O79" t="s">
        <v>705</v>
      </c>
    </row>
    <row r="80" spans="1:15" x14ac:dyDescent="0.25">
      <c r="A80" t="s">
        <v>706</v>
      </c>
      <c r="B80" t="s">
        <v>707</v>
      </c>
      <c r="C80" t="s">
        <v>708</v>
      </c>
      <c r="D80" t="s">
        <v>709</v>
      </c>
      <c r="E80" t="s">
        <v>710</v>
      </c>
      <c r="F80" t="s">
        <v>711</v>
      </c>
      <c r="G80" t="s">
        <v>468</v>
      </c>
      <c r="H80" t="s">
        <v>469</v>
      </c>
      <c r="I80" t="s">
        <v>470</v>
      </c>
      <c r="J80" t="s">
        <v>471</v>
      </c>
      <c r="K80" t="s">
        <v>301</v>
      </c>
      <c r="L80" t="s">
        <v>302</v>
      </c>
      <c r="M80" t="s">
        <v>712</v>
      </c>
      <c r="N80" t="s">
        <v>713</v>
      </c>
      <c r="O80" t="s">
        <v>714</v>
      </c>
    </row>
    <row r="81" spans="1:15" x14ac:dyDescent="0.25">
      <c r="A81" t="s">
        <v>715</v>
      </c>
      <c r="B81" t="s">
        <v>716</v>
      </c>
      <c r="C81" t="s">
        <v>717</v>
      </c>
      <c r="D81" t="s">
        <v>718</v>
      </c>
      <c r="E81" t="s">
        <v>710</v>
      </c>
      <c r="F81" t="s">
        <v>711</v>
      </c>
      <c r="G81" t="s">
        <v>468</v>
      </c>
      <c r="H81" t="s">
        <v>469</v>
      </c>
      <c r="I81" t="s">
        <v>719</v>
      </c>
      <c r="J81" t="s">
        <v>720</v>
      </c>
      <c r="K81" t="s">
        <v>301</v>
      </c>
      <c r="L81" t="s">
        <v>302</v>
      </c>
      <c r="M81" t="s">
        <v>712</v>
      </c>
      <c r="N81" t="s">
        <v>713</v>
      </c>
      <c r="O81" t="s">
        <v>721</v>
      </c>
    </row>
    <row r="82" spans="1:15" x14ac:dyDescent="0.25">
      <c r="A82" t="s">
        <v>722</v>
      </c>
      <c r="B82" t="s">
        <v>723</v>
      </c>
      <c r="C82" t="s">
        <v>724</v>
      </c>
      <c r="D82" t="s">
        <v>725</v>
      </c>
      <c r="E82" t="s">
        <v>726</v>
      </c>
      <c r="F82" t="s">
        <v>727</v>
      </c>
      <c r="G82" t="s">
        <v>728</v>
      </c>
      <c r="H82" t="s">
        <v>729</v>
      </c>
      <c r="I82" t="s">
        <v>730</v>
      </c>
      <c r="J82" t="s">
        <v>731</v>
      </c>
      <c r="K82" t="s">
        <v>301</v>
      </c>
      <c r="L82" t="s">
        <v>302</v>
      </c>
      <c r="M82" t="s">
        <v>732</v>
      </c>
      <c r="N82" t="s">
        <v>733</v>
      </c>
      <c r="O82" t="s">
        <v>734</v>
      </c>
    </row>
    <row r="83" spans="1:15" x14ac:dyDescent="0.25">
      <c r="A83" t="s">
        <v>735</v>
      </c>
      <c r="B83" t="s">
        <v>736</v>
      </c>
      <c r="C83" t="s">
        <v>737</v>
      </c>
      <c r="D83" t="s">
        <v>738</v>
      </c>
      <c r="E83" t="s">
        <v>739</v>
      </c>
      <c r="F83" t="s">
        <v>740</v>
      </c>
      <c r="G83" t="s">
        <v>741</v>
      </c>
      <c r="H83" t="s">
        <v>742</v>
      </c>
      <c r="I83" t="s">
        <v>71</v>
      </c>
      <c r="J83" t="s">
        <v>72</v>
      </c>
      <c r="K83" t="s">
        <v>301</v>
      </c>
      <c r="L83" t="s">
        <v>302</v>
      </c>
      <c r="M83" t="s">
        <v>732</v>
      </c>
      <c r="N83" t="s">
        <v>733</v>
      </c>
      <c r="O83" t="s">
        <v>743</v>
      </c>
    </row>
    <row r="84" spans="1:15" x14ac:dyDescent="0.25">
      <c r="A84" t="s">
        <v>744</v>
      </c>
      <c r="B84" t="s">
        <v>745</v>
      </c>
      <c r="C84" t="s">
        <v>746</v>
      </c>
      <c r="D84" t="s">
        <v>747</v>
      </c>
      <c r="E84" t="s">
        <v>748</v>
      </c>
      <c r="F84" t="s">
        <v>749</v>
      </c>
      <c r="G84" t="s">
        <v>750</v>
      </c>
      <c r="H84" t="s">
        <v>751</v>
      </c>
      <c r="I84" t="s">
        <v>730</v>
      </c>
      <c r="J84" t="s">
        <v>731</v>
      </c>
      <c r="K84" t="s">
        <v>301</v>
      </c>
      <c r="L84" t="s">
        <v>302</v>
      </c>
      <c r="M84" t="s">
        <v>732</v>
      </c>
      <c r="N84" t="s">
        <v>733</v>
      </c>
      <c r="O84" t="s">
        <v>752</v>
      </c>
    </row>
    <row r="85" spans="1:15" x14ac:dyDescent="0.25">
      <c r="A85" t="s">
        <v>753</v>
      </c>
      <c r="B85" t="s">
        <v>754</v>
      </c>
      <c r="C85" t="s">
        <v>755</v>
      </c>
      <c r="D85" t="s">
        <v>756</v>
      </c>
      <c r="E85" t="s">
        <v>757</v>
      </c>
      <c r="F85" t="s">
        <v>758</v>
      </c>
      <c r="G85" t="s">
        <v>480</v>
      </c>
      <c r="H85" t="s">
        <v>481</v>
      </c>
      <c r="I85" t="s">
        <v>759</v>
      </c>
      <c r="J85" t="s">
        <v>760</v>
      </c>
      <c r="K85" t="s">
        <v>761</v>
      </c>
      <c r="L85" t="s">
        <v>762</v>
      </c>
      <c r="M85" t="s">
        <v>763</v>
      </c>
      <c r="N85" t="s">
        <v>764</v>
      </c>
      <c r="O85" t="s">
        <v>765</v>
      </c>
    </row>
    <row r="86" spans="1:15" x14ac:dyDescent="0.25">
      <c r="A86" t="s">
        <v>766</v>
      </c>
      <c r="B86" t="s">
        <v>767</v>
      </c>
      <c r="C86" t="s">
        <v>768</v>
      </c>
      <c r="D86" t="s">
        <v>769</v>
      </c>
      <c r="E86" t="s">
        <v>770</v>
      </c>
      <c r="F86" t="s">
        <v>771</v>
      </c>
      <c r="G86" t="s">
        <v>772</v>
      </c>
      <c r="H86" t="s">
        <v>773</v>
      </c>
      <c r="I86" t="s">
        <v>774</v>
      </c>
      <c r="J86" t="s">
        <v>775</v>
      </c>
      <c r="K86" t="s">
        <v>776</v>
      </c>
      <c r="L86" t="s">
        <v>777</v>
      </c>
      <c r="M86" t="s">
        <v>778</v>
      </c>
      <c r="N86" t="s">
        <v>779</v>
      </c>
      <c r="O86" t="s">
        <v>780</v>
      </c>
    </row>
    <row r="87" spans="1:15" x14ac:dyDescent="0.25">
      <c r="A87" t="s">
        <v>781</v>
      </c>
      <c r="B87" t="s">
        <v>782</v>
      </c>
      <c r="C87" t="s">
        <v>783</v>
      </c>
      <c r="D87" t="s">
        <v>784</v>
      </c>
      <c r="E87" t="s">
        <v>785</v>
      </c>
      <c r="F87" t="s">
        <v>786</v>
      </c>
      <c r="G87" t="s">
        <v>772</v>
      </c>
      <c r="H87" t="s">
        <v>773</v>
      </c>
      <c r="I87" t="s">
        <v>774</v>
      </c>
      <c r="J87" t="s">
        <v>775</v>
      </c>
      <c r="K87" t="s">
        <v>787</v>
      </c>
      <c r="L87" t="s">
        <v>788</v>
      </c>
      <c r="M87" t="s">
        <v>778</v>
      </c>
      <c r="N87" t="s">
        <v>779</v>
      </c>
      <c r="O87" t="s">
        <v>789</v>
      </c>
    </row>
    <row r="88" spans="1:15" x14ac:dyDescent="0.25">
      <c r="A88" t="s">
        <v>790</v>
      </c>
      <c r="B88" t="s">
        <v>791</v>
      </c>
      <c r="C88" t="s">
        <v>792</v>
      </c>
      <c r="D88" t="s">
        <v>793</v>
      </c>
      <c r="E88" t="s">
        <v>794</v>
      </c>
      <c r="F88" t="s">
        <v>792</v>
      </c>
      <c r="G88" t="s">
        <v>795</v>
      </c>
      <c r="H88" t="s">
        <v>796</v>
      </c>
      <c r="I88" t="s">
        <v>299</v>
      </c>
      <c r="J88" t="s">
        <v>300</v>
      </c>
      <c r="K88" t="s">
        <v>38</v>
      </c>
      <c r="L88" t="s">
        <v>39</v>
      </c>
      <c r="M88" t="s">
        <v>797</v>
      </c>
      <c r="N88" t="s">
        <v>798</v>
      </c>
      <c r="O88" t="s">
        <v>799</v>
      </c>
    </row>
    <row r="89" spans="1:15" x14ac:dyDescent="0.25">
      <c r="A89" t="s">
        <v>800</v>
      </c>
      <c r="B89" t="s">
        <v>801</v>
      </c>
      <c r="C89" t="s">
        <v>802</v>
      </c>
      <c r="D89" t="s">
        <v>803</v>
      </c>
      <c r="E89" t="s">
        <v>804</v>
      </c>
      <c r="F89" t="s">
        <v>805</v>
      </c>
      <c r="G89" t="s">
        <v>806</v>
      </c>
      <c r="H89" t="s">
        <v>807</v>
      </c>
      <c r="I89" t="s">
        <v>808</v>
      </c>
      <c r="J89" t="s">
        <v>809</v>
      </c>
      <c r="K89" t="s">
        <v>353</v>
      </c>
      <c r="L89" t="s">
        <v>354</v>
      </c>
      <c r="M89" t="s">
        <v>810</v>
      </c>
      <c r="N89" t="s">
        <v>811</v>
      </c>
      <c r="O89" t="s">
        <v>812</v>
      </c>
    </row>
    <row r="90" spans="1:15" x14ac:dyDescent="0.25">
      <c r="A90" t="s">
        <v>813</v>
      </c>
      <c r="B90" t="s">
        <v>814</v>
      </c>
      <c r="C90" t="s">
        <v>815</v>
      </c>
      <c r="D90" t="s">
        <v>816</v>
      </c>
      <c r="E90" t="s">
        <v>348</v>
      </c>
      <c r="F90" t="s">
        <v>349</v>
      </c>
      <c r="G90" t="s">
        <v>350</v>
      </c>
      <c r="H90" t="s">
        <v>349</v>
      </c>
      <c r="I90" t="s">
        <v>817</v>
      </c>
      <c r="J90" t="s">
        <v>818</v>
      </c>
      <c r="K90" t="s">
        <v>353</v>
      </c>
      <c r="L90" t="s">
        <v>354</v>
      </c>
      <c r="M90" t="s">
        <v>810</v>
      </c>
      <c r="N90" t="s">
        <v>811</v>
      </c>
      <c r="O90" t="s">
        <v>819</v>
      </c>
    </row>
    <row r="91" spans="1:15" x14ac:dyDescent="0.25">
      <c r="A91" t="s">
        <v>820</v>
      </c>
      <c r="B91" t="s">
        <v>821</v>
      </c>
      <c r="C91" t="s">
        <v>822</v>
      </c>
      <c r="D91" t="s">
        <v>823</v>
      </c>
      <c r="E91" t="s">
        <v>439</v>
      </c>
      <c r="F91" t="s">
        <v>440</v>
      </c>
      <c r="G91" t="s">
        <v>441</v>
      </c>
      <c r="H91" t="s">
        <v>440</v>
      </c>
      <c r="I91" t="s">
        <v>817</v>
      </c>
      <c r="J91" t="s">
        <v>818</v>
      </c>
      <c r="K91" t="s">
        <v>353</v>
      </c>
      <c r="L91" t="s">
        <v>354</v>
      </c>
      <c r="M91" t="s">
        <v>810</v>
      </c>
      <c r="N91" t="s">
        <v>811</v>
      </c>
      <c r="O91" t="s">
        <v>824</v>
      </c>
    </row>
    <row r="92" spans="1:15" x14ac:dyDescent="0.25">
      <c r="A92" t="s">
        <v>825</v>
      </c>
      <c r="B92" t="s">
        <v>826</v>
      </c>
      <c r="C92" t="s">
        <v>827</v>
      </c>
      <c r="D92" t="s">
        <v>828</v>
      </c>
      <c r="E92" t="s">
        <v>447</v>
      </c>
      <c r="F92" t="s">
        <v>448</v>
      </c>
      <c r="G92" t="s">
        <v>449</v>
      </c>
      <c r="H92" t="s">
        <v>448</v>
      </c>
      <c r="I92" t="s">
        <v>808</v>
      </c>
      <c r="J92" t="s">
        <v>809</v>
      </c>
      <c r="K92" t="s">
        <v>353</v>
      </c>
      <c r="L92" t="s">
        <v>354</v>
      </c>
      <c r="M92" t="s">
        <v>810</v>
      </c>
      <c r="N92" t="s">
        <v>811</v>
      </c>
      <c r="O92" t="s">
        <v>829</v>
      </c>
    </row>
    <row r="93" spans="1:15" x14ac:dyDescent="0.25">
      <c r="A93" t="s">
        <v>830</v>
      </c>
      <c r="B93" t="s">
        <v>831</v>
      </c>
      <c r="C93" t="s">
        <v>832</v>
      </c>
      <c r="D93" t="s">
        <v>833</v>
      </c>
      <c r="E93" t="s">
        <v>834</v>
      </c>
      <c r="F93" t="s">
        <v>832</v>
      </c>
      <c r="G93" t="s">
        <v>835</v>
      </c>
      <c r="H93" t="s">
        <v>836</v>
      </c>
      <c r="I93" t="s">
        <v>837</v>
      </c>
      <c r="J93" t="s">
        <v>838</v>
      </c>
      <c r="K93" t="s">
        <v>839</v>
      </c>
      <c r="L93" t="s">
        <v>840</v>
      </c>
      <c r="M93" t="s">
        <v>841</v>
      </c>
      <c r="N93" t="s">
        <v>842</v>
      </c>
      <c r="O93" t="s">
        <v>843</v>
      </c>
    </row>
    <row r="94" spans="1:15" x14ac:dyDescent="0.25">
      <c r="A94" t="s">
        <v>844</v>
      </c>
      <c r="B94" t="s">
        <v>845</v>
      </c>
      <c r="C94" t="s">
        <v>846</v>
      </c>
      <c r="D94" t="s">
        <v>847</v>
      </c>
      <c r="E94" t="s">
        <v>848</v>
      </c>
      <c r="F94" t="s">
        <v>846</v>
      </c>
      <c r="G94" t="s">
        <v>849</v>
      </c>
      <c r="H94" t="s">
        <v>850</v>
      </c>
      <c r="I94" t="s">
        <v>730</v>
      </c>
      <c r="J94" t="s">
        <v>731</v>
      </c>
      <c r="K94" t="s">
        <v>839</v>
      </c>
      <c r="L94" t="s">
        <v>840</v>
      </c>
      <c r="M94" t="s">
        <v>851</v>
      </c>
      <c r="N94" t="s">
        <v>852</v>
      </c>
      <c r="O94" t="s">
        <v>853</v>
      </c>
    </row>
    <row r="95" spans="1:15" x14ac:dyDescent="0.25">
      <c r="A95" t="s">
        <v>854</v>
      </c>
      <c r="B95" t="s">
        <v>855</v>
      </c>
      <c r="C95" t="s">
        <v>856</v>
      </c>
      <c r="D95" t="s">
        <v>857</v>
      </c>
      <c r="E95" t="s">
        <v>858</v>
      </c>
      <c r="F95" t="s">
        <v>856</v>
      </c>
      <c r="G95" t="s">
        <v>835</v>
      </c>
      <c r="H95" t="s">
        <v>836</v>
      </c>
      <c r="I95" t="s">
        <v>299</v>
      </c>
      <c r="J95" t="s">
        <v>300</v>
      </c>
      <c r="K95" t="s">
        <v>839</v>
      </c>
      <c r="L95" t="s">
        <v>840</v>
      </c>
      <c r="M95" t="s">
        <v>859</v>
      </c>
      <c r="N95" t="s">
        <v>860</v>
      </c>
      <c r="O95" t="s">
        <v>861</v>
      </c>
    </row>
    <row r="96" spans="1:15" x14ac:dyDescent="0.25">
      <c r="A96" t="s">
        <v>862</v>
      </c>
      <c r="B96" t="s">
        <v>863</v>
      </c>
      <c r="C96" t="s">
        <v>864</v>
      </c>
      <c r="D96" t="s">
        <v>865</v>
      </c>
      <c r="E96" t="s">
        <v>866</v>
      </c>
      <c r="F96" t="s">
        <v>864</v>
      </c>
      <c r="G96" t="s">
        <v>835</v>
      </c>
      <c r="H96" t="s">
        <v>836</v>
      </c>
      <c r="I96" t="s">
        <v>299</v>
      </c>
      <c r="J96" t="s">
        <v>300</v>
      </c>
      <c r="K96" t="s">
        <v>839</v>
      </c>
      <c r="L96" t="s">
        <v>840</v>
      </c>
      <c r="M96" t="s">
        <v>867</v>
      </c>
      <c r="N96" t="s">
        <v>868</v>
      </c>
      <c r="O96" t="s">
        <v>869</v>
      </c>
    </row>
    <row r="97" spans="1:15" x14ac:dyDescent="0.25">
      <c r="A97" t="s">
        <v>870</v>
      </c>
      <c r="B97" t="s">
        <v>871</v>
      </c>
      <c r="C97" t="s">
        <v>872</v>
      </c>
      <c r="D97" t="s">
        <v>873</v>
      </c>
      <c r="E97" t="s">
        <v>874</v>
      </c>
      <c r="F97" t="s">
        <v>872</v>
      </c>
      <c r="G97" t="s">
        <v>835</v>
      </c>
      <c r="H97" t="s">
        <v>836</v>
      </c>
      <c r="I97" t="s">
        <v>299</v>
      </c>
      <c r="J97" t="s">
        <v>300</v>
      </c>
      <c r="K97" t="s">
        <v>839</v>
      </c>
      <c r="L97" t="s">
        <v>840</v>
      </c>
      <c r="M97" t="s">
        <v>875</v>
      </c>
      <c r="N97" t="s">
        <v>876</v>
      </c>
      <c r="O97" t="s">
        <v>877</v>
      </c>
    </row>
    <row r="98" spans="1:15" x14ac:dyDescent="0.25">
      <c r="A98" t="s">
        <v>878</v>
      </c>
      <c r="B98" t="s">
        <v>879</v>
      </c>
      <c r="C98" t="s">
        <v>880</v>
      </c>
      <c r="D98" t="s">
        <v>881</v>
      </c>
      <c r="E98" t="s">
        <v>882</v>
      </c>
      <c r="F98" t="s">
        <v>880</v>
      </c>
      <c r="G98" t="s">
        <v>835</v>
      </c>
      <c r="H98" t="s">
        <v>836</v>
      </c>
      <c r="I98" t="s">
        <v>299</v>
      </c>
      <c r="J98" t="s">
        <v>300</v>
      </c>
      <c r="K98" t="s">
        <v>761</v>
      </c>
      <c r="L98" t="s">
        <v>762</v>
      </c>
      <c r="M98" t="s">
        <v>883</v>
      </c>
      <c r="N98" t="s">
        <v>884</v>
      </c>
      <c r="O98" t="s">
        <v>885</v>
      </c>
    </row>
    <row r="99" spans="1:15" x14ac:dyDescent="0.25">
      <c r="A99" t="s">
        <v>886</v>
      </c>
      <c r="B99" t="s">
        <v>887</v>
      </c>
      <c r="C99" t="s">
        <v>888</v>
      </c>
      <c r="D99" t="s">
        <v>889</v>
      </c>
      <c r="E99" t="s">
        <v>890</v>
      </c>
      <c r="F99" t="s">
        <v>888</v>
      </c>
      <c r="G99" t="s">
        <v>835</v>
      </c>
      <c r="H99" t="s">
        <v>836</v>
      </c>
      <c r="I99" t="s">
        <v>730</v>
      </c>
      <c r="J99" t="s">
        <v>731</v>
      </c>
      <c r="K99" t="s">
        <v>761</v>
      </c>
      <c r="L99" t="s">
        <v>762</v>
      </c>
      <c r="M99" t="s">
        <v>891</v>
      </c>
      <c r="N99" t="s">
        <v>892</v>
      </c>
      <c r="O99" t="s">
        <v>893</v>
      </c>
    </row>
    <row r="100" spans="1:15" x14ac:dyDescent="0.25">
      <c r="A100" t="s">
        <v>894</v>
      </c>
      <c r="B100" t="s">
        <v>895</v>
      </c>
      <c r="C100" t="s">
        <v>896</v>
      </c>
      <c r="D100" t="s">
        <v>897</v>
      </c>
      <c r="E100" t="s">
        <v>898</v>
      </c>
      <c r="F100" t="s">
        <v>896</v>
      </c>
      <c r="G100" t="s">
        <v>835</v>
      </c>
      <c r="H100" t="s">
        <v>836</v>
      </c>
      <c r="I100" t="s">
        <v>730</v>
      </c>
      <c r="J100" t="s">
        <v>731</v>
      </c>
      <c r="K100" t="s">
        <v>761</v>
      </c>
      <c r="L100" t="s">
        <v>762</v>
      </c>
      <c r="M100" t="s">
        <v>899</v>
      </c>
      <c r="N100" t="s">
        <v>900</v>
      </c>
      <c r="O100" t="s">
        <v>901</v>
      </c>
    </row>
    <row r="101" spans="1:15" x14ac:dyDescent="0.25">
      <c r="A101" t="s">
        <v>902</v>
      </c>
      <c r="B101" t="s">
        <v>903</v>
      </c>
      <c r="C101" t="s">
        <v>904</v>
      </c>
      <c r="D101" t="s">
        <v>905</v>
      </c>
      <c r="E101" t="s">
        <v>906</v>
      </c>
      <c r="F101" t="s">
        <v>904</v>
      </c>
      <c r="G101" t="s">
        <v>835</v>
      </c>
      <c r="H101" t="s">
        <v>836</v>
      </c>
      <c r="I101" t="s">
        <v>730</v>
      </c>
      <c r="J101" t="s">
        <v>731</v>
      </c>
      <c r="K101" t="s">
        <v>761</v>
      </c>
      <c r="L101" t="s">
        <v>762</v>
      </c>
      <c r="M101" t="s">
        <v>907</v>
      </c>
      <c r="N101" t="s">
        <v>908</v>
      </c>
      <c r="O101" t="s">
        <v>909</v>
      </c>
    </row>
    <row r="102" spans="1:15" x14ac:dyDescent="0.25">
      <c r="A102" t="s">
        <v>910</v>
      </c>
      <c r="B102" t="s">
        <v>911</v>
      </c>
      <c r="C102" t="s">
        <v>912</v>
      </c>
      <c r="D102" t="s">
        <v>913</v>
      </c>
      <c r="E102" t="s">
        <v>914</v>
      </c>
      <c r="F102" t="s">
        <v>912</v>
      </c>
      <c r="G102" t="s">
        <v>835</v>
      </c>
      <c r="H102" t="s">
        <v>836</v>
      </c>
      <c r="I102" t="s">
        <v>730</v>
      </c>
      <c r="J102" t="s">
        <v>731</v>
      </c>
      <c r="K102" t="s">
        <v>761</v>
      </c>
      <c r="L102" t="s">
        <v>762</v>
      </c>
      <c r="M102" t="s">
        <v>915</v>
      </c>
      <c r="N102" t="s">
        <v>916</v>
      </c>
      <c r="O102" t="s">
        <v>917</v>
      </c>
    </row>
    <row r="103" spans="1:15" x14ac:dyDescent="0.25">
      <c r="A103" t="s">
        <v>918</v>
      </c>
      <c r="B103" t="s">
        <v>919</v>
      </c>
      <c r="C103" t="s">
        <v>920</v>
      </c>
      <c r="D103" t="s">
        <v>921</v>
      </c>
      <c r="E103" t="s">
        <v>922</v>
      </c>
      <c r="F103" t="s">
        <v>920</v>
      </c>
      <c r="G103" t="s">
        <v>835</v>
      </c>
      <c r="H103" t="s">
        <v>836</v>
      </c>
      <c r="I103" t="s">
        <v>299</v>
      </c>
      <c r="J103" t="s">
        <v>300</v>
      </c>
      <c r="K103" t="s">
        <v>761</v>
      </c>
      <c r="L103" t="s">
        <v>762</v>
      </c>
      <c r="M103" t="s">
        <v>923</v>
      </c>
      <c r="N103" t="s">
        <v>924</v>
      </c>
      <c r="O103" t="s">
        <v>925</v>
      </c>
    </row>
    <row r="104" spans="1:15" x14ac:dyDescent="0.25">
      <c r="A104" t="s">
        <v>926</v>
      </c>
      <c r="B104" t="s">
        <v>927</v>
      </c>
      <c r="C104" t="s">
        <v>928</v>
      </c>
      <c r="D104" t="s">
        <v>929</v>
      </c>
      <c r="E104" t="s">
        <v>930</v>
      </c>
      <c r="F104" t="s">
        <v>928</v>
      </c>
      <c r="G104" t="s">
        <v>835</v>
      </c>
      <c r="H104" t="s">
        <v>836</v>
      </c>
      <c r="I104" t="s">
        <v>299</v>
      </c>
      <c r="J104" t="s">
        <v>300</v>
      </c>
      <c r="K104" t="s">
        <v>761</v>
      </c>
      <c r="L104" t="s">
        <v>762</v>
      </c>
      <c r="M104" t="s">
        <v>931</v>
      </c>
      <c r="N104" t="s">
        <v>932</v>
      </c>
      <c r="O104" t="s">
        <v>933</v>
      </c>
    </row>
    <row r="105" spans="1:15" x14ac:dyDescent="0.25">
      <c r="A105" t="s">
        <v>934</v>
      </c>
      <c r="B105" t="s">
        <v>935</v>
      </c>
      <c r="C105" t="s">
        <v>936</v>
      </c>
      <c r="D105" t="s">
        <v>937</v>
      </c>
      <c r="E105" t="s">
        <v>938</v>
      </c>
      <c r="F105" t="s">
        <v>936</v>
      </c>
      <c r="G105" t="s">
        <v>835</v>
      </c>
      <c r="H105" t="s">
        <v>836</v>
      </c>
      <c r="I105" t="s">
        <v>299</v>
      </c>
      <c r="J105" t="s">
        <v>300</v>
      </c>
      <c r="K105" t="s">
        <v>761</v>
      </c>
      <c r="L105" t="s">
        <v>762</v>
      </c>
      <c r="M105" t="s">
        <v>939</v>
      </c>
      <c r="N105" t="s">
        <v>940</v>
      </c>
      <c r="O105" t="s">
        <v>941</v>
      </c>
    </row>
    <row r="106" spans="1:15" x14ac:dyDescent="0.25">
      <c r="A106" t="s">
        <v>942</v>
      </c>
      <c r="B106" t="s">
        <v>943</v>
      </c>
      <c r="C106" t="s">
        <v>944</v>
      </c>
      <c r="D106" t="s">
        <v>945</v>
      </c>
      <c r="E106" t="s">
        <v>946</v>
      </c>
      <c r="F106" t="s">
        <v>944</v>
      </c>
      <c r="G106" t="s">
        <v>835</v>
      </c>
      <c r="H106" t="s">
        <v>836</v>
      </c>
      <c r="I106" t="s">
        <v>299</v>
      </c>
      <c r="J106" t="s">
        <v>300</v>
      </c>
      <c r="K106" t="s">
        <v>761</v>
      </c>
      <c r="L106" t="s">
        <v>762</v>
      </c>
      <c r="M106" t="s">
        <v>947</v>
      </c>
      <c r="N106" t="s">
        <v>948</v>
      </c>
      <c r="O106" t="s">
        <v>949</v>
      </c>
    </row>
    <row r="107" spans="1:15" x14ac:dyDescent="0.25">
      <c r="A107" t="s">
        <v>950</v>
      </c>
      <c r="B107" t="s">
        <v>951</v>
      </c>
      <c r="C107" t="s">
        <v>952</v>
      </c>
      <c r="D107" t="s">
        <v>953</v>
      </c>
      <c r="E107" t="s">
        <v>954</v>
      </c>
      <c r="F107" t="s">
        <v>952</v>
      </c>
      <c r="G107" t="s">
        <v>123</v>
      </c>
      <c r="H107" t="s">
        <v>124</v>
      </c>
      <c r="I107" t="s">
        <v>502</v>
      </c>
      <c r="J107" t="s">
        <v>503</v>
      </c>
      <c r="K107" t="s">
        <v>761</v>
      </c>
      <c r="L107" t="s">
        <v>762</v>
      </c>
      <c r="M107" t="s">
        <v>955</v>
      </c>
      <c r="N107" t="s">
        <v>956</v>
      </c>
      <c r="O107" t="s">
        <v>957</v>
      </c>
    </row>
    <row r="108" spans="1:15" x14ac:dyDescent="0.25">
      <c r="A108" t="s">
        <v>958</v>
      </c>
      <c r="B108" t="s">
        <v>959</v>
      </c>
      <c r="C108" t="s">
        <v>960</v>
      </c>
      <c r="D108" t="s">
        <v>961</v>
      </c>
      <c r="E108" t="s">
        <v>962</v>
      </c>
      <c r="F108" t="s">
        <v>960</v>
      </c>
      <c r="G108" t="s">
        <v>123</v>
      </c>
      <c r="H108" t="s">
        <v>124</v>
      </c>
      <c r="I108" t="s">
        <v>299</v>
      </c>
      <c r="J108" t="s">
        <v>300</v>
      </c>
      <c r="K108" t="s">
        <v>761</v>
      </c>
      <c r="L108" t="s">
        <v>762</v>
      </c>
      <c r="M108" t="s">
        <v>963</v>
      </c>
      <c r="N108" t="s">
        <v>964</v>
      </c>
      <c r="O108" t="s">
        <v>965</v>
      </c>
    </row>
    <row r="109" spans="1:15" x14ac:dyDescent="0.25">
      <c r="A109" t="s">
        <v>966</v>
      </c>
      <c r="B109" t="s">
        <v>967</v>
      </c>
      <c r="C109" t="s">
        <v>968</v>
      </c>
      <c r="D109" t="s">
        <v>969</v>
      </c>
      <c r="E109" t="s">
        <v>970</v>
      </c>
      <c r="F109" t="s">
        <v>968</v>
      </c>
      <c r="G109" t="s">
        <v>835</v>
      </c>
      <c r="H109" t="s">
        <v>836</v>
      </c>
      <c r="I109" t="s">
        <v>971</v>
      </c>
      <c r="J109" t="s">
        <v>972</v>
      </c>
      <c r="K109" t="s">
        <v>761</v>
      </c>
      <c r="L109" t="s">
        <v>762</v>
      </c>
      <c r="M109" t="s">
        <v>973</v>
      </c>
      <c r="N109" t="s">
        <v>974</v>
      </c>
      <c r="O109" t="s">
        <v>975</v>
      </c>
    </row>
    <row r="110" spans="1:15" x14ac:dyDescent="0.25">
      <c r="A110" t="s">
        <v>976</v>
      </c>
      <c r="B110" t="s">
        <v>977</v>
      </c>
      <c r="C110" t="s">
        <v>978</v>
      </c>
      <c r="D110" t="s">
        <v>979</v>
      </c>
      <c r="E110" t="s">
        <v>980</v>
      </c>
      <c r="F110" t="s">
        <v>978</v>
      </c>
      <c r="G110" t="s">
        <v>835</v>
      </c>
      <c r="H110" t="s">
        <v>836</v>
      </c>
      <c r="I110" t="s">
        <v>299</v>
      </c>
      <c r="J110" t="s">
        <v>300</v>
      </c>
      <c r="K110" t="s">
        <v>761</v>
      </c>
      <c r="L110" t="s">
        <v>762</v>
      </c>
      <c r="M110" t="s">
        <v>981</v>
      </c>
      <c r="N110" t="s">
        <v>982</v>
      </c>
      <c r="O110" t="s">
        <v>983</v>
      </c>
    </row>
    <row r="111" spans="1:15" x14ac:dyDescent="0.25">
      <c r="A111" t="s">
        <v>984</v>
      </c>
      <c r="B111" t="s">
        <v>985</v>
      </c>
      <c r="C111" t="s">
        <v>986</v>
      </c>
      <c r="D111" t="s">
        <v>987</v>
      </c>
      <c r="E111" t="s">
        <v>988</v>
      </c>
      <c r="F111" t="s">
        <v>986</v>
      </c>
      <c r="G111" t="s">
        <v>835</v>
      </c>
      <c r="H111" t="s">
        <v>836</v>
      </c>
      <c r="I111" t="s">
        <v>502</v>
      </c>
      <c r="J111" t="s">
        <v>503</v>
      </c>
      <c r="K111" t="s">
        <v>989</v>
      </c>
      <c r="L111" t="s">
        <v>990</v>
      </c>
      <c r="M111" t="s">
        <v>991</v>
      </c>
      <c r="N111" t="s">
        <v>992</v>
      </c>
      <c r="O111" t="s">
        <v>993</v>
      </c>
    </row>
    <row r="112" spans="1:15" x14ac:dyDescent="0.25">
      <c r="A112" t="s">
        <v>994</v>
      </c>
      <c r="B112" t="s">
        <v>995</v>
      </c>
      <c r="C112" t="s">
        <v>996</v>
      </c>
      <c r="D112" t="s">
        <v>997</v>
      </c>
      <c r="E112" t="s">
        <v>998</v>
      </c>
      <c r="F112" t="s">
        <v>996</v>
      </c>
      <c r="G112" t="s">
        <v>835</v>
      </c>
      <c r="H112" t="s">
        <v>836</v>
      </c>
      <c r="I112" t="s">
        <v>299</v>
      </c>
      <c r="J112" t="s">
        <v>300</v>
      </c>
      <c r="K112" t="s">
        <v>989</v>
      </c>
      <c r="L112" t="s">
        <v>990</v>
      </c>
      <c r="M112" t="s">
        <v>999</v>
      </c>
      <c r="N112" t="s">
        <v>1000</v>
      </c>
      <c r="O112" t="s">
        <v>1001</v>
      </c>
    </row>
    <row r="113" spans="1:15" x14ac:dyDescent="0.25">
      <c r="A113" t="s">
        <v>1002</v>
      </c>
      <c r="B113" t="s">
        <v>1003</v>
      </c>
      <c r="C113" t="s">
        <v>1004</v>
      </c>
      <c r="D113" t="s">
        <v>1005</v>
      </c>
      <c r="E113" t="s">
        <v>1006</v>
      </c>
      <c r="F113" t="s">
        <v>1004</v>
      </c>
      <c r="G113" t="s">
        <v>835</v>
      </c>
      <c r="H113" t="s">
        <v>836</v>
      </c>
      <c r="I113" t="s">
        <v>299</v>
      </c>
      <c r="J113" t="s">
        <v>300</v>
      </c>
      <c r="K113" t="s">
        <v>989</v>
      </c>
      <c r="L113" t="s">
        <v>990</v>
      </c>
      <c r="M113" t="s">
        <v>1007</v>
      </c>
      <c r="N113" t="s">
        <v>1008</v>
      </c>
      <c r="O113" t="s">
        <v>1009</v>
      </c>
    </row>
    <row r="114" spans="1:15" x14ac:dyDescent="0.25">
      <c r="A114" t="s">
        <v>1010</v>
      </c>
      <c r="B114" t="s">
        <v>1011</v>
      </c>
      <c r="C114" t="s">
        <v>1012</v>
      </c>
      <c r="D114" t="s">
        <v>1013</v>
      </c>
      <c r="E114" t="s">
        <v>1014</v>
      </c>
      <c r="F114" t="s">
        <v>1012</v>
      </c>
      <c r="G114" t="s">
        <v>835</v>
      </c>
      <c r="H114" t="s">
        <v>836</v>
      </c>
      <c r="I114" t="s">
        <v>299</v>
      </c>
      <c r="J114" t="s">
        <v>300</v>
      </c>
      <c r="K114" t="s">
        <v>989</v>
      </c>
      <c r="L114" t="s">
        <v>990</v>
      </c>
      <c r="M114" t="s">
        <v>1015</v>
      </c>
      <c r="N114" t="s">
        <v>1016</v>
      </c>
      <c r="O114" t="s">
        <v>1017</v>
      </c>
    </row>
    <row r="115" spans="1:15" x14ac:dyDescent="0.25">
      <c r="A115" t="s">
        <v>1018</v>
      </c>
      <c r="B115" t="s">
        <v>1019</v>
      </c>
      <c r="C115" t="s">
        <v>1020</v>
      </c>
      <c r="D115" t="s">
        <v>1021</v>
      </c>
      <c r="E115" t="s">
        <v>1022</v>
      </c>
      <c r="F115" t="s">
        <v>1020</v>
      </c>
      <c r="G115" t="s">
        <v>835</v>
      </c>
      <c r="H115" t="s">
        <v>836</v>
      </c>
      <c r="I115" t="s">
        <v>299</v>
      </c>
      <c r="J115" t="s">
        <v>300</v>
      </c>
      <c r="K115" t="s">
        <v>989</v>
      </c>
      <c r="L115" t="s">
        <v>990</v>
      </c>
      <c r="M115" t="s">
        <v>1023</v>
      </c>
      <c r="N115" t="s">
        <v>1024</v>
      </c>
      <c r="O115" t="s">
        <v>1025</v>
      </c>
    </row>
    <row r="116" spans="1:15" x14ac:dyDescent="0.25">
      <c r="A116" t="s">
        <v>1026</v>
      </c>
      <c r="B116" t="s">
        <v>1027</v>
      </c>
      <c r="C116" t="s">
        <v>1028</v>
      </c>
      <c r="D116" t="s">
        <v>1029</v>
      </c>
      <c r="E116" t="s">
        <v>1030</v>
      </c>
      <c r="F116" t="s">
        <v>1028</v>
      </c>
      <c r="G116" t="s">
        <v>835</v>
      </c>
      <c r="H116" t="s">
        <v>836</v>
      </c>
      <c r="I116" t="s">
        <v>299</v>
      </c>
      <c r="J116" t="s">
        <v>300</v>
      </c>
      <c r="K116" t="s">
        <v>1031</v>
      </c>
      <c r="L116" t="s">
        <v>1032</v>
      </c>
      <c r="M116" t="s">
        <v>1033</v>
      </c>
      <c r="N116" t="s">
        <v>1034</v>
      </c>
      <c r="O116" t="s">
        <v>1035</v>
      </c>
    </row>
    <row r="117" spans="1:15" x14ac:dyDescent="0.25">
      <c r="A117" t="s">
        <v>1036</v>
      </c>
      <c r="B117" t="s">
        <v>1037</v>
      </c>
      <c r="C117" t="s">
        <v>1038</v>
      </c>
      <c r="D117" t="s">
        <v>1039</v>
      </c>
      <c r="E117" t="s">
        <v>1040</v>
      </c>
      <c r="F117" t="s">
        <v>1038</v>
      </c>
      <c r="G117" t="s">
        <v>835</v>
      </c>
      <c r="H117" t="s">
        <v>836</v>
      </c>
      <c r="I117" t="s">
        <v>394</v>
      </c>
      <c r="J117" t="s">
        <v>395</v>
      </c>
      <c r="K117" t="s">
        <v>1031</v>
      </c>
      <c r="L117" t="s">
        <v>1032</v>
      </c>
      <c r="M117" t="s">
        <v>1041</v>
      </c>
      <c r="N117" t="s">
        <v>1042</v>
      </c>
      <c r="O117" t="s">
        <v>1043</v>
      </c>
    </row>
    <row r="118" spans="1:15" x14ac:dyDescent="0.25">
      <c r="A118" t="s">
        <v>1044</v>
      </c>
      <c r="B118" t="s">
        <v>1045</v>
      </c>
      <c r="C118" t="s">
        <v>1046</v>
      </c>
      <c r="D118" t="s">
        <v>1047</v>
      </c>
      <c r="E118" t="s">
        <v>1048</v>
      </c>
      <c r="F118" t="s">
        <v>1046</v>
      </c>
      <c r="G118" t="s">
        <v>835</v>
      </c>
      <c r="H118" t="s">
        <v>836</v>
      </c>
      <c r="I118" t="s">
        <v>394</v>
      </c>
      <c r="J118" t="s">
        <v>395</v>
      </c>
      <c r="K118" t="s">
        <v>1031</v>
      </c>
      <c r="L118" t="s">
        <v>1032</v>
      </c>
      <c r="M118" t="s">
        <v>1049</v>
      </c>
      <c r="N118" t="s">
        <v>1050</v>
      </c>
      <c r="O118" t="s">
        <v>1051</v>
      </c>
    </row>
    <row r="119" spans="1:15" x14ac:dyDescent="0.25">
      <c r="A119" t="s">
        <v>1052</v>
      </c>
      <c r="B119" t="s">
        <v>1053</v>
      </c>
      <c r="C119" t="s">
        <v>1054</v>
      </c>
      <c r="D119" t="s">
        <v>1055</v>
      </c>
      <c r="E119" t="s">
        <v>1056</v>
      </c>
      <c r="F119" t="s">
        <v>1054</v>
      </c>
      <c r="G119" t="s">
        <v>835</v>
      </c>
      <c r="H119" t="s">
        <v>836</v>
      </c>
      <c r="I119" t="s">
        <v>1057</v>
      </c>
      <c r="J119" t="s">
        <v>1058</v>
      </c>
      <c r="K119" t="s">
        <v>1031</v>
      </c>
      <c r="L119" t="s">
        <v>1032</v>
      </c>
      <c r="M119" t="s">
        <v>1059</v>
      </c>
      <c r="N119" t="s">
        <v>1060</v>
      </c>
      <c r="O119" t="s">
        <v>1061</v>
      </c>
    </row>
    <row r="120" spans="1:15" x14ac:dyDescent="0.25">
      <c r="A120" t="s">
        <v>1062</v>
      </c>
      <c r="B120" t="s">
        <v>1063</v>
      </c>
      <c r="C120" t="s">
        <v>1064</v>
      </c>
      <c r="D120" t="s">
        <v>1065</v>
      </c>
      <c r="E120" t="s">
        <v>1066</v>
      </c>
      <c r="F120" t="s">
        <v>1064</v>
      </c>
      <c r="G120" t="s">
        <v>835</v>
      </c>
      <c r="H120" t="s">
        <v>836</v>
      </c>
      <c r="I120" t="s">
        <v>394</v>
      </c>
      <c r="J120" t="s">
        <v>395</v>
      </c>
      <c r="K120" t="s">
        <v>1031</v>
      </c>
      <c r="L120" t="s">
        <v>1032</v>
      </c>
      <c r="M120" t="s">
        <v>1067</v>
      </c>
      <c r="N120" t="s">
        <v>1068</v>
      </c>
      <c r="O120" t="s">
        <v>1069</v>
      </c>
    </row>
    <row r="121" spans="1:15" x14ac:dyDescent="0.25">
      <c r="A121" t="s">
        <v>1070</v>
      </c>
      <c r="B121" t="s">
        <v>1071</v>
      </c>
      <c r="C121" t="s">
        <v>1072</v>
      </c>
      <c r="D121" t="s">
        <v>1073</v>
      </c>
      <c r="E121" t="s">
        <v>1074</v>
      </c>
      <c r="F121" t="s">
        <v>1072</v>
      </c>
      <c r="G121" t="s">
        <v>835</v>
      </c>
      <c r="H121" t="s">
        <v>836</v>
      </c>
      <c r="I121" t="s">
        <v>394</v>
      </c>
      <c r="J121" t="s">
        <v>395</v>
      </c>
      <c r="K121" t="s">
        <v>1031</v>
      </c>
      <c r="L121" t="s">
        <v>1032</v>
      </c>
      <c r="M121" t="s">
        <v>1075</v>
      </c>
      <c r="N121" t="s">
        <v>1076</v>
      </c>
      <c r="O121" t="s">
        <v>1077</v>
      </c>
    </row>
    <row r="122" spans="1:15" x14ac:dyDescent="0.25">
      <c r="A122" t="s">
        <v>1078</v>
      </c>
      <c r="B122" t="s">
        <v>1079</v>
      </c>
      <c r="C122" t="s">
        <v>1080</v>
      </c>
      <c r="D122" t="s">
        <v>1081</v>
      </c>
      <c r="E122" t="s">
        <v>1082</v>
      </c>
      <c r="F122" t="s">
        <v>1080</v>
      </c>
      <c r="G122" t="s">
        <v>835</v>
      </c>
      <c r="H122" t="s">
        <v>836</v>
      </c>
      <c r="I122" t="s">
        <v>299</v>
      </c>
      <c r="J122" t="s">
        <v>300</v>
      </c>
      <c r="K122" t="s">
        <v>1031</v>
      </c>
      <c r="L122" t="s">
        <v>1032</v>
      </c>
      <c r="M122" t="s">
        <v>1083</v>
      </c>
      <c r="N122" t="s">
        <v>1084</v>
      </c>
      <c r="O122" t="s">
        <v>1085</v>
      </c>
    </row>
    <row r="123" spans="1:15" x14ac:dyDescent="0.25">
      <c r="A123" t="s">
        <v>1086</v>
      </c>
      <c r="B123" t="s">
        <v>1087</v>
      </c>
      <c r="C123" t="s">
        <v>1088</v>
      </c>
      <c r="D123" t="s">
        <v>1089</v>
      </c>
      <c r="E123" t="s">
        <v>1090</v>
      </c>
      <c r="F123" t="s">
        <v>1088</v>
      </c>
      <c r="G123" t="s">
        <v>835</v>
      </c>
      <c r="H123" t="s">
        <v>836</v>
      </c>
      <c r="I123" t="s">
        <v>71</v>
      </c>
      <c r="J123" t="s">
        <v>72</v>
      </c>
      <c r="K123" t="s">
        <v>1031</v>
      </c>
      <c r="L123" t="s">
        <v>1032</v>
      </c>
      <c r="M123" t="s">
        <v>1091</v>
      </c>
      <c r="N123" t="s">
        <v>1092</v>
      </c>
      <c r="O123" t="s">
        <v>1093</v>
      </c>
    </row>
    <row r="124" spans="1:15" x14ac:dyDescent="0.25">
      <c r="A124" t="s">
        <v>1094</v>
      </c>
      <c r="B124" t="s">
        <v>1095</v>
      </c>
      <c r="C124" t="s">
        <v>1096</v>
      </c>
      <c r="D124" t="s">
        <v>1097</v>
      </c>
      <c r="E124" t="s">
        <v>1098</v>
      </c>
      <c r="F124" t="s">
        <v>1096</v>
      </c>
      <c r="G124" t="s">
        <v>835</v>
      </c>
      <c r="H124" t="s">
        <v>836</v>
      </c>
      <c r="I124" t="s">
        <v>394</v>
      </c>
      <c r="J124" t="s">
        <v>395</v>
      </c>
      <c r="K124" t="s">
        <v>1031</v>
      </c>
      <c r="L124" t="s">
        <v>1032</v>
      </c>
      <c r="M124" t="s">
        <v>1099</v>
      </c>
      <c r="N124" t="s">
        <v>1100</v>
      </c>
      <c r="O124" t="s">
        <v>1101</v>
      </c>
    </row>
    <row r="125" spans="1:15" x14ac:dyDescent="0.25">
      <c r="A125" t="s">
        <v>1102</v>
      </c>
      <c r="B125" t="s">
        <v>1103</v>
      </c>
      <c r="C125" t="s">
        <v>1104</v>
      </c>
      <c r="D125" t="s">
        <v>1105</v>
      </c>
      <c r="E125" t="s">
        <v>1106</v>
      </c>
      <c r="F125" t="s">
        <v>1104</v>
      </c>
      <c r="G125" t="s">
        <v>835</v>
      </c>
      <c r="H125" t="s">
        <v>836</v>
      </c>
      <c r="I125" t="s">
        <v>299</v>
      </c>
      <c r="J125" t="s">
        <v>300</v>
      </c>
      <c r="K125" t="s">
        <v>1031</v>
      </c>
      <c r="L125" t="s">
        <v>1032</v>
      </c>
      <c r="M125" t="s">
        <v>1107</v>
      </c>
      <c r="N125" t="s">
        <v>1108</v>
      </c>
      <c r="O125" t="s">
        <v>1109</v>
      </c>
    </row>
    <row r="126" spans="1:15" x14ac:dyDescent="0.25">
      <c r="A126" t="s">
        <v>1110</v>
      </c>
      <c r="B126" t="s">
        <v>1111</v>
      </c>
      <c r="C126" t="s">
        <v>1112</v>
      </c>
      <c r="D126" t="s">
        <v>1113</v>
      </c>
      <c r="E126" t="s">
        <v>1114</v>
      </c>
      <c r="F126" t="s">
        <v>1112</v>
      </c>
      <c r="G126" t="s">
        <v>835</v>
      </c>
      <c r="H126" t="s">
        <v>836</v>
      </c>
      <c r="I126" t="s">
        <v>394</v>
      </c>
      <c r="J126" t="s">
        <v>395</v>
      </c>
      <c r="K126" t="s">
        <v>1031</v>
      </c>
      <c r="L126" t="s">
        <v>1032</v>
      </c>
      <c r="M126" t="s">
        <v>1115</v>
      </c>
      <c r="N126" t="s">
        <v>1116</v>
      </c>
      <c r="O126" t="s">
        <v>1117</v>
      </c>
    </row>
    <row r="127" spans="1:15" x14ac:dyDescent="0.25">
      <c r="A127" t="s">
        <v>1118</v>
      </c>
      <c r="B127" t="s">
        <v>1119</v>
      </c>
      <c r="C127" t="s">
        <v>1120</v>
      </c>
      <c r="D127" t="s">
        <v>1121</v>
      </c>
      <c r="E127" t="s">
        <v>1122</v>
      </c>
      <c r="F127" t="s">
        <v>1120</v>
      </c>
      <c r="G127" t="s">
        <v>835</v>
      </c>
      <c r="H127" t="s">
        <v>836</v>
      </c>
      <c r="I127" t="s">
        <v>299</v>
      </c>
      <c r="J127" t="s">
        <v>300</v>
      </c>
      <c r="K127" t="s">
        <v>1031</v>
      </c>
      <c r="L127" t="s">
        <v>1032</v>
      </c>
      <c r="M127" t="s">
        <v>1123</v>
      </c>
      <c r="N127" t="s">
        <v>1124</v>
      </c>
      <c r="O127" t="s">
        <v>1125</v>
      </c>
    </row>
    <row r="128" spans="1:15" x14ac:dyDescent="0.25">
      <c r="A128" t="s">
        <v>1126</v>
      </c>
      <c r="B128" t="s">
        <v>1127</v>
      </c>
      <c r="C128" t="s">
        <v>1128</v>
      </c>
      <c r="D128" t="s">
        <v>1129</v>
      </c>
      <c r="E128" t="s">
        <v>1130</v>
      </c>
      <c r="F128" t="s">
        <v>1128</v>
      </c>
      <c r="G128" t="s">
        <v>835</v>
      </c>
      <c r="H128" t="s">
        <v>836</v>
      </c>
      <c r="I128" t="s">
        <v>299</v>
      </c>
      <c r="J128" t="s">
        <v>300</v>
      </c>
      <c r="K128" t="s">
        <v>1031</v>
      </c>
      <c r="L128" t="s">
        <v>1032</v>
      </c>
      <c r="M128" t="s">
        <v>1131</v>
      </c>
      <c r="N128" t="s">
        <v>1132</v>
      </c>
      <c r="O128" t="s">
        <v>1133</v>
      </c>
    </row>
    <row r="129" spans="1:15" x14ac:dyDescent="0.25">
      <c r="A129" t="s">
        <v>1134</v>
      </c>
      <c r="B129" t="s">
        <v>1135</v>
      </c>
      <c r="C129" t="s">
        <v>1136</v>
      </c>
      <c r="D129" t="s">
        <v>1137</v>
      </c>
      <c r="E129" t="s">
        <v>1138</v>
      </c>
      <c r="F129" t="s">
        <v>1136</v>
      </c>
      <c r="G129" t="s">
        <v>835</v>
      </c>
      <c r="H129" t="s">
        <v>836</v>
      </c>
      <c r="I129" t="s">
        <v>299</v>
      </c>
      <c r="J129" t="s">
        <v>300</v>
      </c>
      <c r="K129" t="s">
        <v>1031</v>
      </c>
      <c r="L129" t="s">
        <v>1032</v>
      </c>
      <c r="M129" t="s">
        <v>1139</v>
      </c>
      <c r="N129" t="s">
        <v>1140</v>
      </c>
      <c r="O129" t="s">
        <v>1141</v>
      </c>
    </row>
    <row r="130" spans="1:15" x14ac:dyDescent="0.25">
      <c r="A130" t="s">
        <v>1142</v>
      </c>
      <c r="B130" t="s">
        <v>1143</v>
      </c>
      <c r="C130" t="s">
        <v>1144</v>
      </c>
      <c r="D130" t="s">
        <v>1145</v>
      </c>
      <c r="E130" t="s">
        <v>1146</v>
      </c>
      <c r="F130" t="s">
        <v>1144</v>
      </c>
      <c r="G130" t="s">
        <v>835</v>
      </c>
      <c r="H130" t="s">
        <v>836</v>
      </c>
      <c r="I130" t="s">
        <v>730</v>
      </c>
      <c r="J130" t="s">
        <v>731</v>
      </c>
      <c r="K130" t="s">
        <v>1031</v>
      </c>
      <c r="L130" t="s">
        <v>1032</v>
      </c>
      <c r="M130" t="s">
        <v>1147</v>
      </c>
      <c r="N130" t="s">
        <v>1148</v>
      </c>
      <c r="O130" t="s">
        <v>1149</v>
      </c>
    </row>
    <row r="131" spans="1:15" x14ac:dyDescent="0.25">
      <c r="A131" t="s">
        <v>1150</v>
      </c>
      <c r="B131" t="s">
        <v>1151</v>
      </c>
      <c r="C131" t="s">
        <v>1152</v>
      </c>
      <c r="D131" t="s">
        <v>1153</v>
      </c>
      <c r="E131" t="s">
        <v>1154</v>
      </c>
      <c r="F131" t="s">
        <v>1152</v>
      </c>
      <c r="G131" t="s">
        <v>835</v>
      </c>
      <c r="H131" t="s">
        <v>836</v>
      </c>
      <c r="I131" t="s">
        <v>71</v>
      </c>
      <c r="J131" t="s">
        <v>72</v>
      </c>
      <c r="K131" t="s">
        <v>1031</v>
      </c>
      <c r="L131" t="s">
        <v>1032</v>
      </c>
      <c r="M131" t="s">
        <v>1155</v>
      </c>
      <c r="N131" t="s">
        <v>1156</v>
      </c>
      <c r="O131" t="s">
        <v>1157</v>
      </c>
    </row>
    <row r="132" spans="1:15" x14ac:dyDescent="0.25">
      <c r="A132" t="s">
        <v>1158</v>
      </c>
      <c r="B132" t="s">
        <v>1159</v>
      </c>
      <c r="C132" t="s">
        <v>1160</v>
      </c>
      <c r="D132" t="s">
        <v>1161</v>
      </c>
      <c r="E132" t="s">
        <v>1162</v>
      </c>
      <c r="F132" t="s">
        <v>1160</v>
      </c>
      <c r="G132" t="s">
        <v>835</v>
      </c>
      <c r="H132" t="s">
        <v>836</v>
      </c>
      <c r="I132" t="s">
        <v>730</v>
      </c>
      <c r="J132" t="s">
        <v>731</v>
      </c>
      <c r="K132" t="s">
        <v>1031</v>
      </c>
      <c r="L132" t="s">
        <v>1032</v>
      </c>
      <c r="M132" t="s">
        <v>1163</v>
      </c>
      <c r="N132" t="s">
        <v>1164</v>
      </c>
      <c r="O132" t="s">
        <v>1165</v>
      </c>
    </row>
    <row r="133" spans="1:15" x14ac:dyDescent="0.25">
      <c r="A133" t="s">
        <v>1166</v>
      </c>
      <c r="B133" t="s">
        <v>1167</v>
      </c>
      <c r="C133" t="s">
        <v>1168</v>
      </c>
      <c r="D133" t="s">
        <v>1169</v>
      </c>
      <c r="E133" t="s">
        <v>1170</v>
      </c>
      <c r="F133" t="s">
        <v>1168</v>
      </c>
      <c r="G133" t="s">
        <v>835</v>
      </c>
      <c r="H133" t="s">
        <v>836</v>
      </c>
      <c r="I133" t="s">
        <v>394</v>
      </c>
      <c r="J133" t="s">
        <v>395</v>
      </c>
      <c r="K133" t="s">
        <v>1031</v>
      </c>
      <c r="L133" t="s">
        <v>1032</v>
      </c>
      <c r="M133" t="s">
        <v>1171</v>
      </c>
      <c r="N133" t="s">
        <v>1172</v>
      </c>
      <c r="O133" t="s">
        <v>1173</v>
      </c>
    </row>
    <row r="134" spans="1:15" x14ac:dyDescent="0.25">
      <c r="A134" t="s">
        <v>1174</v>
      </c>
      <c r="B134" t="s">
        <v>1175</v>
      </c>
      <c r="C134" t="s">
        <v>1176</v>
      </c>
      <c r="D134" t="s">
        <v>1177</v>
      </c>
      <c r="E134" t="s">
        <v>1178</v>
      </c>
      <c r="F134" t="s">
        <v>1176</v>
      </c>
      <c r="G134" t="s">
        <v>835</v>
      </c>
      <c r="H134" t="s">
        <v>836</v>
      </c>
      <c r="I134" t="s">
        <v>730</v>
      </c>
      <c r="J134" t="s">
        <v>731</v>
      </c>
      <c r="K134" t="s">
        <v>1031</v>
      </c>
      <c r="L134" t="s">
        <v>1032</v>
      </c>
      <c r="M134" t="s">
        <v>1179</v>
      </c>
      <c r="N134" t="s">
        <v>1180</v>
      </c>
      <c r="O134" t="s">
        <v>1181</v>
      </c>
    </row>
    <row r="135" spans="1:15" x14ac:dyDescent="0.25">
      <c r="A135" t="s">
        <v>1182</v>
      </c>
      <c r="B135" t="s">
        <v>1183</v>
      </c>
      <c r="C135" t="s">
        <v>1184</v>
      </c>
      <c r="D135" t="s">
        <v>1185</v>
      </c>
      <c r="E135" t="s">
        <v>1186</v>
      </c>
      <c r="F135" t="s">
        <v>1184</v>
      </c>
      <c r="G135" t="s">
        <v>835</v>
      </c>
      <c r="H135" t="s">
        <v>836</v>
      </c>
      <c r="I135" t="s">
        <v>71</v>
      </c>
      <c r="J135" t="s">
        <v>72</v>
      </c>
      <c r="K135" t="s">
        <v>1031</v>
      </c>
      <c r="L135" t="s">
        <v>1032</v>
      </c>
      <c r="M135" t="s">
        <v>1187</v>
      </c>
      <c r="N135" t="s">
        <v>1188</v>
      </c>
      <c r="O135" t="s">
        <v>1189</v>
      </c>
    </row>
    <row r="136" spans="1:15" x14ac:dyDescent="0.25">
      <c r="A136" t="s">
        <v>1190</v>
      </c>
      <c r="B136" t="s">
        <v>1191</v>
      </c>
      <c r="C136" t="s">
        <v>1192</v>
      </c>
      <c r="D136" t="s">
        <v>1193</v>
      </c>
      <c r="E136" t="s">
        <v>1194</v>
      </c>
      <c r="F136" t="s">
        <v>1192</v>
      </c>
      <c r="G136" t="s">
        <v>835</v>
      </c>
      <c r="H136" t="s">
        <v>836</v>
      </c>
      <c r="I136" t="s">
        <v>299</v>
      </c>
      <c r="J136" t="s">
        <v>300</v>
      </c>
      <c r="K136" t="s">
        <v>1031</v>
      </c>
      <c r="L136" t="s">
        <v>1032</v>
      </c>
      <c r="M136" t="s">
        <v>1195</v>
      </c>
      <c r="N136" t="s">
        <v>1196</v>
      </c>
      <c r="O136" t="s">
        <v>1197</v>
      </c>
    </row>
    <row r="137" spans="1:15" x14ac:dyDescent="0.25">
      <c r="A137" t="s">
        <v>1198</v>
      </c>
      <c r="B137" t="s">
        <v>1199</v>
      </c>
      <c r="C137" t="s">
        <v>1200</v>
      </c>
      <c r="D137" t="s">
        <v>1201</v>
      </c>
      <c r="E137" t="s">
        <v>1202</v>
      </c>
      <c r="F137" t="s">
        <v>1200</v>
      </c>
      <c r="G137" t="s">
        <v>835</v>
      </c>
      <c r="H137" t="s">
        <v>836</v>
      </c>
      <c r="I137" t="s">
        <v>299</v>
      </c>
      <c r="J137" t="s">
        <v>300</v>
      </c>
      <c r="K137" t="s">
        <v>1031</v>
      </c>
      <c r="L137" t="s">
        <v>1032</v>
      </c>
      <c r="M137" t="s">
        <v>1203</v>
      </c>
      <c r="N137" t="s">
        <v>1204</v>
      </c>
      <c r="O137" t="s">
        <v>1205</v>
      </c>
    </row>
    <row r="138" spans="1:15" x14ac:dyDescent="0.25">
      <c r="A138" t="s">
        <v>1206</v>
      </c>
      <c r="B138" t="s">
        <v>1207</v>
      </c>
      <c r="C138" t="s">
        <v>1208</v>
      </c>
      <c r="D138" t="s">
        <v>1209</v>
      </c>
      <c r="E138" t="s">
        <v>1210</v>
      </c>
      <c r="F138" t="s">
        <v>1208</v>
      </c>
      <c r="G138" t="s">
        <v>835</v>
      </c>
      <c r="H138" t="s">
        <v>836</v>
      </c>
      <c r="I138" t="s">
        <v>299</v>
      </c>
      <c r="J138" t="s">
        <v>300</v>
      </c>
      <c r="K138" t="s">
        <v>1031</v>
      </c>
      <c r="L138" t="s">
        <v>1032</v>
      </c>
      <c r="M138" t="s">
        <v>1211</v>
      </c>
      <c r="N138" t="s">
        <v>1212</v>
      </c>
      <c r="O138" t="s">
        <v>1213</v>
      </c>
    </row>
    <row r="139" spans="1:15" x14ac:dyDescent="0.25">
      <c r="A139" t="s">
        <v>1214</v>
      </c>
      <c r="B139" t="s">
        <v>1215</v>
      </c>
      <c r="C139" t="s">
        <v>1216</v>
      </c>
      <c r="D139" t="s">
        <v>1217</v>
      </c>
      <c r="E139" t="s">
        <v>1218</v>
      </c>
      <c r="F139" t="s">
        <v>1216</v>
      </c>
      <c r="G139" t="s">
        <v>835</v>
      </c>
      <c r="H139" t="s">
        <v>836</v>
      </c>
      <c r="I139" t="s">
        <v>299</v>
      </c>
      <c r="J139" t="s">
        <v>300</v>
      </c>
      <c r="K139" t="s">
        <v>1031</v>
      </c>
      <c r="L139" t="s">
        <v>1032</v>
      </c>
      <c r="M139" t="s">
        <v>1219</v>
      </c>
      <c r="N139" t="s">
        <v>1220</v>
      </c>
      <c r="O139" t="s">
        <v>1221</v>
      </c>
    </row>
    <row r="140" spans="1:15" x14ac:dyDescent="0.25">
      <c r="A140" t="s">
        <v>1222</v>
      </c>
      <c r="B140" t="s">
        <v>1223</v>
      </c>
      <c r="C140" t="s">
        <v>1224</v>
      </c>
      <c r="D140" t="s">
        <v>1225</v>
      </c>
      <c r="E140" t="s">
        <v>1226</v>
      </c>
      <c r="F140" t="s">
        <v>1224</v>
      </c>
      <c r="G140" t="s">
        <v>835</v>
      </c>
      <c r="H140" t="s">
        <v>836</v>
      </c>
      <c r="I140" t="s">
        <v>71</v>
      </c>
      <c r="J140" t="s">
        <v>72</v>
      </c>
      <c r="K140" t="s">
        <v>1031</v>
      </c>
      <c r="L140" t="s">
        <v>1032</v>
      </c>
      <c r="M140" t="s">
        <v>1227</v>
      </c>
      <c r="N140" t="s">
        <v>1228</v>
      </c>
      <c r="O140" t="s">
        <v>1229</v>
      </c>
    </row>
    <row r="141" spans="1:15" x14ac:dyDescent="0.25">
      <c r="A141" t="s">
        <v>1230</v>
      </c>
      <c r="B141" t="s">
        <v>1231</v>
      </c>
      <c r="C141" t="s">
        <v>1232</v>
      </c>
      <c r="D141" t="s">
        <v>1233</v>
      </c>
      <c r="E141" t="s">
        <v>1234</v>
      </c>
      <c r="F141" t="s">
        <v>1232</v>
      </c>
      <c r="G141" t="s">
        <v>835</v>
      </c>
      <c r="H141" t="s">
        <v>836</v>
      </c>
      <c r="I141" t="s">
        <v>71</v>
      </c>
      <c r="J141" t="s">
        <v>72</v>
      </c>
      <c r="K141" t="s">
        <v>1031</v>
      </c>
      <c r="L141" t="s">
        <v>1032</v>
      </c>
      <c r="M141" t="s">
        <v>1235</v>
      </c>
      <c r="N141" t="s">
        <v>1236</v>
      </c>
      <c r="O141" t="s">
        <v>1237</v>
      </c>
    </row>
    <row r="142" spans="1:15" x14ac:dyDescent="0.25">
      <c r="A142" t="s">
        <v>1238</v>
      </c>
      <c r="B142" t="s">
        <v>1239</v>
      </c>
      <c r="C142" t="s">
        <v>1240</v>
      </c>
      <c r="D142" t="s">
        <v>1241</v>
      </c>
      <c r="E142" t="s">
        <v>1242</v>
      </c>
      <c r="F142" t="s">
        <v>1240</v>
      </c>
      <c r="G142" t="s">
        <v>835</v>
      </c>
      <c r="H142" t="s">
        <v>836</v>
      </c>
      <c r="I142" t="s">
        <v>299</v>
      </c>
      <c r="J142" t="s">
        <v>300</v>
      </c>
      <c r="K142" t="s">
        <v>1031</v>
      </c>
      <c r="L142" t="s">
        <v>1032</v>
      </c>
      <c r="M142" t="s">
        <v>1243</v>
      </c>
      <c r="N142" t="s">
        <v>1244</v>
      </c>
      <c r="O142" t="s">
        <v>1245</v>
      </c>
    </row>
    <row r="143" spans="1:15" x14ac:dyDescent="0.25">
      <c r="A143" t="s">
        <v>1246</v>
      </c>
      <c r="B143" t="s">
        <v>1247</v>
      </c>
      <c r="C143" t="s">
        <v>1248</v>
      </c>
      <c r="D143" t="s">
        <v>1249</v>
      </c>
      <c r="E143" t="s">
        <v>1250</v>
      </c>
      <c r="F143" t="s">
        <v>1248</v>
      </c>
      <c r="G143" t="s">
        <v>835</v>
      </c>
      <c r="H143" t="s">
        <v>836</v>
      </c>
      <c r="I143" t="s">
        <v>299</v>
      </c>
      <c r="J143" t="s">
        <v>300</v>
      </c>
      <c r="K143" t="s">
        <v>1031</v>
      </c>
      <c r="L143" t="s">
        <v>1032</v>
      </c>
      <c r="M143" t="s">
        <v>1251</v>
      </c>
      <c r="N143" t="s">
        <v>1252</v>
      </c>
      <c r="O143" t="s">
        <v>1253</v>
      </c>
    </row>
    <row r="144" spans="1:15" x14ac:dyDescent="0.25">
      <c r="A144" t="s">
        <v>1254</v>
      </c>
      <c r="B144" t="s">
        <v>1255</v>
      </c>
      <c r="C144" t="s">
        <v>1256</v>
      </c>
      <c r="D144" t="s">
        <v>1257</v>
      </c>
      <c r="E144" t="s">
        <v>1258</v>
      </c>
      <c r="F144" t="s">
        <v>1256</v>
      </c>
      <c r="G144" t="s">
        <v>835</v>
      </c>
      <c r="H144" t="s">
        <v>836</v>
      </c>
      <c r="I144" t="s">
        <v>299</v>
      </c>
      <c r="J144" t="s">
        <v>300</v>
      </c>
      <c r="K144" t="s">
        <v>1031</v>
      </c>
      <c r="L144" t="s">
        <v>1032</v>
      </c>
      <c r="M144" t="s">
        <v>1259</v>
      </c>
      <c r="N144" t="s">
        <v>1260</v>
      </c>
      <c r="O144" t="s">
        <v>1261</v>
      </c>
    </row>
    <row r="145" spans="1:15" x14ac:dyDescent="0.25">
      <c r="A145" t="s">
        <v>1262</v>
      </c>
      <c r="B145" t="s">
        <v>1263</v>
      </c>
      <c r="C145" t="s">
        <v>1264</v>
      </c>
      <c r="D145" t="s">
        <v>1265</v>
      </c>
      <c r="E145" t="s">
        <v>1266</v>
      </c>
      <c r="F145" t="s">
        <v>1264</v>
      </c>
      <c r="G145" t="s">
        <v>835</v>
      </c>
      <c r="H145" t="s">
        <v>836</v>
      </c>
      <c r="I145" t="s">
        <v>299</v>
      </c>
      <c r="J145" t="s">
        <v>300</v>
      </c>
      <c r="K145" t="s">
        <v>1031</v>
      </c>
      <c r="L145" t="s">
        <v>1032</v>
      </c>
      <c r="M145" t="s">
        <v>1267</v>
      </c>
      <c r="N145" t="s">
        <v>1268</v>
      </c>
      <c r="O145" t="s">
        <v>1269</v>
      </c>
    </row>
    <row r="146" spans="1:15" x14ac:dyDescent="0.25">
      <c r="A146" t="s">
        <v>1270</v>
      </c>
      <c r="B146" t="s">
        <v>1271</v>
      </c>
      <c r="C146" t="s">
        <v>1272</v>
      </c>
      <c r="D146" t="s">
        <v>1273</v>
      </c>
      <c r="E146" t="s">
        <v>1274</v>
      </c>
      <c r="F146" t="s">
        <v>1272</v>
      </c>
      <c r="G146" t="s">
        <v>835</v>
      </c>
      <c r="H146" t="s">
        <v>836</v>
      </c>
      <c r="I146" t="s">
        <v>730</v>
      </c>
      <c r="J146" t="s">
        <v>731</v>
      </c>
      <c r="K146" t="s">
        <v>1275</v>
      </c>
      <c r="L146" t="s">
        <v>1276</v>
      </c>
      <c r="M146" t="s">
        <v>1277</v>
      </c>
      <c r="N146" t="s">
        <v>1278</v>
      </c>
      <c r="O146" t="s">
        <v>1279</v>
      </c>
    </row>
    <row r="147" spans="1:15" x14ac:dyDescent="0.25">
      <c r="A147" t="s">
        <v>1280</v>
      </c>
      <c r="B147" t="s">
        <v>1281</v>
      </c>
      <c r="C147" t="s">
        <v>1282</v>
      </c>
      <c r="D147" t="s">
        <v>1283</v>
      </c>
      <c r="E147" t="s">
        <v>1284</v>
      </c>
      <c r="F147" t="s">
        <v>1282</v>
      </c>
      <c r="G147" t="s">
        <v>835</v>
      </c>
      <c r="H147" t="s">
        <v>836</v>
      </c>
      <c r="I147" t="s">
        <v>730</v>
      </c>
      <c r="J147" t="s">
        <v>731</v>
      </c>
      <c r="K147" t="s">
        <v>1275</v>
      </c>
      <c r="L147" t="s">
        <v>1276</v>
      </c>
      <c r="M147" t="s">
        <v>1285</v>
      </c>
      <c r="N147" t="s">
        <v>1286</v>
      </c>
      <c r="O147" t="s">
        <v>1287</v>
      </c>
    </row>
    <row r="148" spans="1:15" x14ac:dyDescent="0.25">
      <c r="A148" t="s">
        <v>1288</v>
      </c>
      <c r="B148" t="s">
        <v>1289</v>
      </c>
      <c r="C148" t="s">
        <v>1290</v>
      </c>
      <c r="D148" t="s">
        <v>1291</v>
      </c>
      <c r="E148" t="s">
        <v>1292</v>
      </c>
      <c r="F148" t="s">
        <v>1290</v>
      </c>
      <c r="G148" t="s">
        <v>835</v>
      </c>
      <c r="H148" t="s">
        <v>836</v>
      </c>
      <c r="I148" t="s">
        <v>502</v>
      </c>
      <c r="J148" t="s">
        <v>503</v>
      </c>
      <c r="K148" t="s">
        <v>1275</v>
      </c>
      <c r="L148" t="s">
        <v>1276</v>
      </c>
      <c r="M148" t="s">
        <v>1293</v>
      </c>
      <c r="N148" t="s">
        <v>1294</v>
      </c>
      <c r="O148" t="s">
        <v>1295</v>
      </c>
    </row>
    <row r="149" spans="1:15" x14ac:dyDescent="0.25">
      <c r="A149" t="s">
        <v>1296</v>
      </c>
      <c r="B149" t="s">
        <v>1297</v>
      </c>
      <c r="C149" t="s">
        <v>1298</v>
      </c>
      <c r="D149" t="s">
        <v>1299</v>
      </c>
      <c r="E149" t="s">
        <v>1300</v>
      </c>
      <c r="F149" t="s">
        <v>1298</v>
      </c>
      <c r="G149" t="s">
        <v>835</v>
      </c>
      <c r="H149" t="s">
        <v>836</v>
      </c>
      <c r="I149" t="s">
        <v>71</v>
      </c>
      <c r="J149" t="s">
        <v>72</v>
      </c>
      <c r="K149" t="s">
        <v>1275</v>
      </c>
      <c r="L149" t="s">
        <v>1276</v>
      </c>
      <c r="M149" t="s">
        <v>1301</v>
      </c>
      <c r="N149" t="s">
        <v>1302</v>
      </c>
      <c r="O149" t="s">
        <v>1303</v>
      </c>
    </row>
    <row r="150" spans="1:15" x14ac:dyDescent="0.25">
      <c r="A150" t="s">
        <v>1304</v>
      </c>
      <c r="B150" t="s">
        <v>1305</v>
      </c>
      <c r="C150" t="s">
        <v>1306</v>
      </c>
      <c r="D150" t="s">
        <v>1307</v>
      </c>
      <c r="E150" t="s">
        <v>1308</v>
      </c>
      <c r="F150" t="s">
        <v>1306</v>
      </c>
      <c r="G150" t="s">
        <v>835</v>
      </c>
      <c r="H150" t="s">
        <v>836</v>
      </c>
      <c r="I150" t="s">
        <v>71</v>
      </c>
      <c r="J150" t="s">
        <v>72</v>
      </c>
      <c r="K150" t="s">
        <v>1275</v>
      </c>
      <c r="L150" t="s">
        <v>1276</v>
      </c>
      <c r="M150" t="s">
        <v>1309</v>
      </c>
      <c r="N150" t="s">
        <v>1310</v>
      </c>
      <c r="O150" t="s">
        <v>1311</v>
      </c>
    </row>
    <row r="151" spans="1:15" x14ac:dyDescent="0.25">
      <c r="A151" t="s">
        <v>1312</v>
      </c>
      <c r="B151" t="s">
        <v>1313</v>
      </c>
      <c r="C151" t="s">
        <v>1314</v>
      </c>
      <c r="D151" t="s">
        <v>1315</v>
      </c>
      <c r="E151" t="s">
        <v>1316</v>
      </c>
      <c r="F151" t="s">
        <v>1314</v>
      </c>
      <c r="G151" t="s">
        <v>835</v>
      </c>
      <c r="H151" t="s">
        <v>836</v>
      </c>
      <c r="I151" t="s">
        <v>71</v>
      </c>
      <c r="J151" t="s">
        <v>72</v>
      </c>
      <c r="K151" t="s">
        <v>1275</v>
      </c>
      <c r="L151" t="s">
        <v>1276</v>
      </c>
      <c r="M151" t="s">
        <v>1317</v>
      </c>
      <c r="N151" t="s">
        <v>1318</v>
      </c>
      <c r="O151" t="s">
        <v>1319</v>
      </c>
    </row>
    <row r="152" spans="1:15" x14ac:dyDescent="0.25">
      <c r="A152" t="s">
        <v>1320</v>
      </c>
      <c r="B152" t="s">
        <v>1321</v>
      </c>
      <c r="C152" t="s">
        <v>1322</v>
      </c>
      <c r="D152" t="s">
        <v>1323</v>
      </c>
      <c r="E152" t="s">
        <v>1324</v>
      </c>
      <c r="F152" t="s">
        <v>1322</v>
      </c>
      <c r="G152" t="s">
        <v>835</v>
      </c>
      <c r="H152" t="s">
        <v>836</v>
      </c>
      <c r="I152" t="s">
        <v>502</v>
      </c>
      <c r="J152" t="s">
        <v>503</v>
      </c>
      <c r="K152" t="s">
        <v>1325</v>
      </c>
      <c r="L152" t="s">
        <v>1326</v>
      </c>
      <c r="M152" t="s">
        <v>1327</v>
      </c>
      <c r="N152" t="s">
        <v>1328</v>
      </c>
      <c r="O152" t="s">
        <v>1329</v>
      </c>
    </row>
    <row r="153" spans="1:15" x14ac:dyDescent="0.25">
      <c r="A153" t="s">
        <v>1330</v>
      </c>
      <c r="B153" t="s">
        <v>1331</v>
      </c>
      <c r="C153" t="s">
        <v>1332</v>
      </c>
      <c r="D153" t="s">
        <v>1333</v>
      </c>
      <c r="E153" t="s">
        <v>1334</v>
      </c>
      <c r="F153" t="s">
        <v>1332</v>
      </c>
      <c r="G153" t="s">
        <v>1335</v>
      </c>
      <c r="H153" t="s">
        <v>1336</v>
      </c>
      <c r="I153" t="s">
        <v>730</v>
      </c>
      <c r="J153" t="s">
        <v>731</v>
      </c>
      <c r="K153" t="s">
        <v>484</v>
      </c>
      <c r="L153" t="s">
        <v>485</v>
      </c>
      <c r="M153" t="s">
        <v>1337</v>
      </c>
      <c r="N153" t="s">
        <v>1338</v>
      </c>
      <c r="O153" t="s">
        <v>1339</v>
      </c>
    </row>
    <row r="154" spans="1:15" x14ac:dyDescent="0.25">
      <c r="A154" t="s">
        <v>1340</v>
      </c>
      <c r="B154" t="s">
        <v>1341</v>
      </c>
      <c r="C154" t="s">
        <v>1342</v>
      </c>
      <c r="D154" t="s">
        <v>1343</v>
      </c>
      <c r="E154" t="s">
        <v>1344</v>
      </c>
      <c r="F154" t="s">
        <v>1342</v>
      </c>
      <c r="G154" t="s">
        <v>480</v>
      </c>
      <c r="H154" t="s">
        <v>481</v>
      </c>
      <c r="I154" t="s">
        <v>1345</v>
      </c>
      <c r="J154" t="s">
        <v>1346</v>
      </c>
      <c r="K154" t="s">
        <v>761</v>
      </c>
      <c r="L154" t="s">
        <v>762</v>
      </c>
      <c r="M154" t="s">
        <v>1347</v>
      </c>
      <c r="N154" t="s">
        <v>1348</v>
      </c>
      <c r="O154" t="s">
        <v>1349</v>
      </c>
    </row>
    <row r="155" spans="1:15" x14ac:dyDescent="0.25">
      <c r="A155" t="s">
        <v>1350</v>
      </c>
      <c r="B155" t="s">
        <v>1351</v>
      </c>
      <c r="C155" t="s">
        <v>1352</v>
      </c>
      <c r="D155" t="s">
        <v>1353</v>
      </c>
      <c r="E155" t="s">
        <v>1354</v>
      </c>
      <c r="F155" t="s">
        <v>1355</v>
      </c>
      <c r="G155" t="s">
        <v>1356</v>
      </c>
      <c r="H155" t="s">
        <v>1357</v>
      </c>
      <c r="I155" t="s">
        <v>299</v>
      </c>
      <c r="J155" t="s">
        <v>300</v>
      </c>
      <c r="K155" t="s">
        <v>323</v>
      </c>
      <c r="L155" t="s">
        <v>324</v>
      </c>
      <c r="M155" t="s">
        <v>1358</v>
      </c>
      <c r="N155" t="s">
        <v>1359</v>
      </c>
      <c r="O155" t="s">
        <v>1360</v>
      </c>
    </row>
    <row r="156" spans="1:15" x14ac:dyDescent="0.25">
      <c r="A156" t="s">
        <v>1361</v>
      </c>
      <c r="B156" t="s">
        <v>1362</v>
      </c>
      <c r="C156" t="s">
        <v>1363</v>
      </c>
      <c r="D156" t="s">
        <v>1364</v>
      </c>
      <c r="E156" t="s">
        <v>1365</v>
      </c>
      <c r="F156" t="s">
        <v>1363</v>
      </c>
      <c r="G156" t="s">
        <v>835</v>
      </c>
      <c r="H156" t="s">
        <v>836</v>
      </c>
      <c r="I156" t="s">
        <v>299</v>
      </c>
      <c r="J156" t="s">
        <v>300</v>
      </c>
      <c r="K156" t="s">
        <v>1366</v>
      </c>
      <c r="L156" t="s">
        <v>1367</v>
      </c>
      <c r="M156" t="s">
        <v>1368</v>
      </c>
      <c r="N156" t="s">
        <v>1369</v>
      </c>
      <c r="O156" t="s">
        <v>1370</v>
      </c>
    </row>
    <row r="157" spans="1:15" x14ac:dyDescent="0.25">
      <c r="A157" t="s">
        <v>1371</v>
      </c>
      <c r="B157" t="s">
        <v>1372</v>
      </c>
      <c r="C157" t="s">
        <v>1373</v>
      </c>
      <c r="D157" t="s">
        <v>1374</v>
      </c>
      <c r="E157" t="s">
        <v>1375</v>
      </c>
      <c r="F157" t="s">
        <v>1373</v>
      </c>
      <c r="G157" t="s">
        <v>835</v>
      </c>
      <c r="H157" t="s">
        <v>836</v>
      </c>
      <c r="I157" t="s">
        <v>299</v>
      </c>
      <c r="J157" t="s">
        <v>300</v>
      </c>
      <c r="K157" t="s">
        <v>1366</v>
      </c>
      <c r="L157" t="s">
        <v>1367</v>
      </c>
      <c r="M157" t="s">
        <v>1376</v>
      </c>
      <c r="N157" t="s">
        <v>1377</v>
      </c>
      <c r="O157" t="s">
        <v>1378</v>
      </c>
    </row>
    <row r="158" spans="1:15" x14ac:dyDescent="0.25">
      <c r="A158" t="s">
        <v>1379</v>
      </c>
      <c r="B158" t="s">
        <v>1380</v>
      </c>
      <c r="C158" t="s">
        <v>1381</v>
      </c>
      <c r="D158" t="s">
        <v>1382</v>
      </c>
      <c r="E158" t="s">
        <v>1383</v>
      </c>
      <c r="F158" t="s">
        <v>1381</v>
      </c>
      <c r="G158" t="s">
        <v>835</v>
      </c>
      <c r="H158" t="s">
        <v>836</v>
      </c>
      <c r="I158" t="s">
        <v>299</v>
      </c>
      <c r="J158" t="s">
        <v>300</v>
      </c>
      <c r="K158" t="s">
        <v>1366</v>
      </c>
      <c r="L158" t="s">
        <v>1367</v>
      </c>
      <c r="M158" t="s">
        <v>1384</v>
      </c>
      <c r="N158" t="s">
        <v>1385</v>
      </c>
      <c r="O158" t="s">
        <v>1386</v>
      </c>
    </row>
    <row r="159" spans="1:15" x14ac:dyDescent="0.25">
      <c r="A159" t="s">
        <v>1387</v>
      </c>
      <c r="B159" t="s">
        <v>1388</v>
      </c>
      <c r="C159" t="s">
        <v>1389</v>
      </c>
      <c r="D159" t="s">
        <v>1390</v>
      </c>
      <c r="E159" t="s">
        <v>1391</v>
      </c>
      <c r="F159" t="s">
        <v>1389</v>
      </c>
      <c r="G159" t="s">
        <v>835</v>
      </c>
      <c r="H159" t="s">
        <v>836</v>
      </c>
      <c r="I159" t="s">
        <v>1392</v>
      </c>
      <c r="J159" t="s">
        <v>1393</v>
      </c>
      <c r="K159" t="s">
        <v>1366</v>
      </c>
      <c r="L159" t="s">
        <v>1367</v>
      </c>
      <c r="M159" t="s">
        <v>1394</v>
      </c>
      <c r="N159" t="s">
        <v>1395</v>
      </c>
      <c r="O159" t="s">
        <v>1396</v>
      </c>
    </row>
    <row r="160" spans="1:15" x14ac:dyDescent="0.25">
      <c r="A160" t="s">
        <v>1397</v>
      </c>
      <c r="B160" t="s">
        <v>1398</v>
      </c>
      <c r="C160" t="s">
        <v>1399</v>
      </c>
      <c r="D160" t="s">
        <v>1400</v>
      </c>
      <c r="E160" t="s">
        <v>1401</v>
      </c>
      <c r="F160" t="s">
        <v>1399</v>
      </c>
      <c r="G160" t="s">
        <v>835</v>
      </c>
      <c r="H160" t="s">
        <v>836</v>
      </c>
      <c r="I160" t="s">
        <v>730</v>
      </c>
      <c r="J160" t="s">
        <v>731</v>
      </c>
      <c r="K160" t="s">
        <v>1366</v>
      </c>
      <c r="L160" t="s">
        <v>1367</v>
      </c>
      <c r="M160" t="s">
        <v>1402</v>
      </c>
      <c r="N160" t="s">
        <v>1403</v>
      </c>
      <c r="O160" t="s">
        <v>1404</v>
      </c>
    </row>
    <row r="161" spans="1:15" x14ac:dyDescent="0.25">
      <c r="A161" t="s">
        <v>1405</v>
      </c>
      <c r="B161" t="s">
        <v>1406</v>
      </c>
      <c r="C161" t="s">
        <v>1407</v>
      </c>
      <c r="D161" t="s">
        <v>1408</v>
      </c>
      <c r="E161" t="s">
        <v>1409</v>
      </c>
      <c r="F161" t="s">
        <v>1407</v>
      </c>
      <c r="G161" t="s">
        <v>835</v>
      </c>
      <c r="H161" t="s">
        <v>836</v>
      </c>
      <c r="I161" t="s">
        <v>394</v>
      </c>
      <c r="J161" t="s">
        <v>395</v>
      </c>
      <c r="K161" t="s">
        <v>1366</v>
      </c>
      <c r="L161" t="s">
        <v>1367</v>
      </c>
      <c r="M161" t="s">
        <v>1410</v>
      </c>
      <c r="N161" t="s">
        <v>1411</v>
      </c>
      <c r="O161" t="s">
        <v>1412</v>
      </c>
    </row>
    <row r="162" spans="1:15" x14ac:dyDescent="0.25">
      <c r="A162" t="s">
        <v>1413</v>
      </c>
      <c r="B162" t="s">
        <v>1414</v>
      </c>
      <c r="C162" t="s">
        <v>1415</v>
      </c>
      <c r="D162" t="s">
        <v>1416</v>
      </c>
      <c r="E162" t="s">
        <v>1417</v>
      </c>
      <c r="F162" t="s">
        <v>1415</v>
      </c>
      <c r="G162" t="s">
        <v>1356</v>
      </c>
      <c r="H162" t="s">
        <v>1357</v>
      </c>
      <c r="I162" t="s">
        <v>299</v>
      </c>
      <c r="J162" t="s">
        <v>300</v>
      </c>
      <c r="K162" t="s">
        <v>38</v>
      </c>
      <c r="L162" t="s">
        <v>39</v>
      </c>
      <c r="M162" t="s">
        <v>1418</v>
      </c>
      <c r="N162" t="s">
        <v>1419</v>
      </c>
      <c r="O162" t="s">
        <v>1420</v>
      </c>
    </row>
    <row r="163" spans="1:15" x14ac:dyDescent="0.25">
      <c r="A163" t="s">
        <v>1421</v>
      </c>
      <c r="B163" t="s">
        <v>1422</v>
      </c>
      <c r="C163" t="s">
        <v>1423</v>
      </c>
      <c r="D163" t="s">
        <v>1424</v>
      </c>
      <c r="E163" t="s">
        <v>1425</v>
      </c>
      <c r="F163" t="s">
        <v>1423</v>
      </c>
      <c r="G163" t="s">
        <v>835</v>
      </c>
      <c r="H163" t="s">
        <v>836</v>
      </c>
      <c r="I163" t="s">
        <v>299</v>
      </c>
      <c r="J163" t="s">
        <v>300</v>
      </c>
      <c r="K163" t="s">
        <v>38</v>
      </c>
      <c r="L163" t="s">
        <v>39</v>
      </c>
      <c r="M163" t="s">
        <v>1426</v>
      </c>
      <c r="N163" t="s">
        <v>1427</v>
      </c>
      <c r="O163" t="s">
        <v>1428</v>
      </c>
    </row>
    <row r="164" spans="1:15" x14ac:dyDescent="0.25">
      <c r="A164" t="s">
        <v>1429</v>
      </c>
      <c r="B164" t="s">
        <v>1430</v>
      </c>
      <c r="C164" t="s">
        <v>1431</v>
      </c>
      <c r="D164" t="s">
        <v>1432</v>
      </c>
      <c r="E164" t="s">
        <v>1433</v>
      </c>
      <c r="F164" t="s">
        <v>1431</v>
      </c>
      <c r="G164" t="s">
        <v>835</v>
      </c>
      <c r="H164" t="s">
        <v>836</v>
      </c>
      <c r="I164" t="s">
        <v>971</v>
      </c>
      <c r="J164" t="s">
        <v>972</v>
      </c>
      <c r="K164" t="s">
        <v>38</v>
      </c>
      <c r="L164" t="s">
        <v>39</v>
      </c>
      <c r="M164" t="s">
        <v>1434</v>
      </c>
      <c r="N164" t="s">
        <v>1435</v>
      </c>
      <c r="O164" t="s">
        <v>1436</v>
      </c>
    </row>
    <row r="165" spans="1:15" x14ac:dyDescent="0.25">
      <c r="A165" t="s">
        <v>1437</v>
      </c>
      <c r="B165" t="s">
        <v>1438</v>
      </c>
      <c r="C165" t="s">
        <v>1439</v>
      </c>
      <c r="D165" t="s">
        <v>1440</v>
      </c>
      <c r="E165" t="s">
        <v>1441</v>
      </c>
      <c r="F165" t="s">
        <v>1439</v>
      </c>
      <c r="G165" t="s">
        <v>835</v>
      </c>
      <c r="H165" t="s">
        <v>836</v>
      </c>
      <c r="I165" t="s">
        <v>1442</v>
      </c>
      <c r="J165" t="s">
        <v>1443</v>
      </c>
      <c r="K165" t="s">
        <v>38</v>
      </c>
      <c r="L165" t="s">
        <v>39</v>
      </c>
      <c r="M165" t="s">
        <v>1444</v>
      </c>
      <c r="N165" t="s">
        <v>1445</v>
      </c>
      <c r="O165" t="s">
        <v>1446</v>
      </c>
    </row>
    <row r="166" spans="1:15" x14ac:dyDescent="0.25">
      <c r="A166" t="s">
        <v>1447</v>
      </c>
      <c r="B166" t="s">
        <v>1448</v>
      </c>
      <c r="C166" t="s">
        <v>1449</v>
      </c>
      <c r="D166" t="s">
        <v>1450</v>
      </c>
      <c r="E166" t="s">
        <v>1451</v>
      </c>
      <c r="F166" t="s">
        <v>1449</v>
      </c>
      <c r="G166" t="s">
        <v>849</v>
      </c>
      <c r="H166" t="s">
        <v>850</v>
      </c>
      <c r="I166" t="s">
        <v>1452</v>
      </c>
      <c r="J166" t="s">
        <v>1453</v>
      </c>
      <c r="K166" t="s">
        <v>38</v>
      </c>
      <c r="L166" t="s">
        <v>39</v>
      </c>
      <c r="M166" t="s">
        <v>1454</v>
      </c>
      <c r="N166" t="s">
        <v>1455</v>
      </c>
      <c r="O166" t="s">
        <v>1456</v>
      </c>
    </row>
    <row r="167" spans="1:15" x14ac:dyDescent="0.25">
      <c r="A167" t="s">
        <v>1457</v>
      </c>
      <c r="B167" t="s">
        <v>1458</v>
      </c>
      <c r="C167" t="s">
        <v>1459</v>
      </c>
      <c r="D167" t="s">
        <v>1460</v>
      </c>
      <c r="E167" t="s">
        <v>1461</v>
      </c>
      <c r="F167" t="s">
        <v>1459</v>
      </c>
      <c r="G167" t="s">
        <v>849</v>
      </c>
      <c r="H167" t="s">
        <v>850</v>
      </c>
      <c r="I167" t="s">
        <v>971</v>
      </c>
      <c r="J167" t="s">
        <v>972</v>
      </c>
      <c r="K167" t="s">
        <v>38</v>
      </c>
      <c r="L167" t="s">
        <v>39</v>
      </c>
      <c r="M167" t="s">
        <v>1462</v>
      </c>
      <c r="N167" t="s">
        <v>1463</v>
      </c>
      <c r="O167" t="s">
        <v>1464</v>
      </c>
    </row>
    <row r="168" spans="1:15" x14ac:dyDescent="0.25">
      <c r="A168" t="s">
        <v>1465</v>
      </c>
      <c r="B168" t="s">
        <v>1466</v>
      </c>
      <c r="C168" t="s">
        <v>1467</v>
      </c>
      <c r="D168" t="s">
        <v>1468</v>
      </c>
      <c r="E168" t="s">
        <v>1469</v>
      </c>
      <c r="F168" t="s">
        <v>1467</v>
      </c>
      <c r="G168" t="s">
        <v>441</v>
      </c>
      <c r="H168" t="s">
        <v>440</v>
      </c>
      <c r="I168" t="s">
        <v>299</v>
      </c>
      <c r="J168" t="s">
        <v>300</v>
      </c>
      <c r="K168" t="s">
        <v>38</v>
      </c>
      <c r="L168" t="s">
        <v>39</v>
      </c>
      <c r="M168" t="s">
        <v>1470</v>
      </c>
      <c r="N168" t="s">
        <v>1471</v>
      </c>
      <c r="O168" t="s">
        <v>1472</v>
      </c>
    </row>
    <row r="169" spans="1:15" x14ac:dyDescent="0.25">
      <c r="A169" t="s">
        <v>1473</v>
      </c>
      <c r="B169" t="s">
        <v>1474</v>
      </c>
      <c r="C169" t="s">
        <v>1475</v>
      </c>
      <c r="D169" t="s">
        <v>1476</v>
      </c>
      <c r="E169" t="s">
        <v>1477</v>
      </c>
      <c r="F169" t="s">
        <v>1475</v>
      </c>
      <c r="G169" t="s">
        <v>835</v>
      </c>
      <c r="H169" t="s">
        <v>836</v>
      </c>
      <c r="I169" t="s">
        <v>299</v>
      </c>
      <c r="J169" t="s">
        <v>300</v>
      </c>
      <c r="K169" t="s">
        <v>38</v>
      </c>
      <c r="L169" t="s">
        <v>39</v>
      </c>
      <c r="M169" t="s">
        <v>1478</v>
      </c>
      <c r="N169" t="s">
        <v>1479</v>
      </c>
      <c r="O169" t="s">
        <v>1480</v>
      </c>
    </row>
    <row r="170" spans="1:15" x14ac:dyDescent="0.25">
      <c r="A170" t="s">
        <v>1481</v>
      </c>
      <c r="B170" t="s">
        <v>1482</v>
      </c>
      <c r="C170" t="s">
        <v>1483</v>
      </c>
      <c r="D170" t="s">
        <v>1484</v>
      </c>
      <c r="E170" t="s">
        <v>1485</v>
      </c>
      <c r="F170" t="s">
        <v>1486</v>
      </c>
      <c r="G170" t="s">
        <v>835</v>
      </c>
      <c r="H170" t="s">
        <v>836</v>
      </c>
      <c r="I170" t="s">
        <v>971</v>
      </c>
      <c r="J170" t="s">
        <v>972</v>
      </c>
      <c r="K170" t="s">
        <v>38</v>
      </c>
      <c r="L170" t="s">
        <v>39</v>
      </c>
      <c r="M170" t="s">
        <v>1487</v>
      </c>
      <c r="N170" t="s">
        <v>1488</v>
      </c>
      <c r="O170" t="s">
        <v>1489</v>
      </c>
    </row>
    <row r="171" spans="1:15" x14ac:dyDescent="0.25">
      <c r="A171" t="s">
        <v>1490</v>
      </c>
      <c r="B171" t="s">
        <v>1491</v>
      </c>
      <c r="C171" t="s">
        <v>1492</v>
      </c>
      <c r="D171" t="s">
        <v>1493</v>
      </c>
      <c r="E171" t="s">
        <v>1494</v>
      </c>
      <c r="F171" t="s">
        <v>1492</v>
      </c>
      <c r="G171" t="s">
        <v>835</v>
      </c>
      <c r="H171" t="s">
        <v>836</v>
      </c>
      <c r="I171" t="s">
        <v>299</v>
      </c>
      <c r="J171" t="s">
        <v>300</v>
      </c>
      <c r="K171" t="s">
        <v>38</v>
      </c>
      <c r="L171" t="s">
        <v>39</v>
      </c>
      <c r="M171" t="s">
        <v>1495</v>
      </c>
      <c r="N171" t="s">
        <v>1496</v>
      </c>
      <c r="O171" t="s">
        <v>1497</v>
      </c>
    </row>
    <row r="172" spans="1:15" x14ac:dyDescent="0.25">
      <c r="A172" t="s">
        <v>1498</v>
      </c>
      <c r="B172" t="s">
        <v>1499</v>
      </c>
      <c r="C172" t="s">
        <v>1500</v>
      </c>
      <c r="D172" t="s">
        <v>1501</v>
      </c>
      <c r="E172" t="s">
        <v>1502</v>
      </c>
      <c r="F172" t="s">
        <v>1500</v>
      </c>
      <c r="G172" t="s">
        <v>1503</v>
      </c>
      <c r="H172" t="s">
        <v>1504</v>
      </c>
      <c r="I172" t="s">
        <v>730</v>
      </c>
      <c r="J172" t="s">
        <v>731</v>
      </c>
      <c r="K172" t="s">
        <v>38</v>
      </c>
      <c r="L172" t="s">
        <v>39</v>
      </c>
      <c r="M172" t="s">
        <v>1505</v>
      </c>
      <c r="N172" t="s">
        <v>1506</v>
      </c>
      <c r="O172" t="s">
        <v>1507</v>
      </c>
    </row>
    <row r="173" spans="1:15" x14ac:dyDescent="0.25">
      <c r="A173" t="s">
        <v>1508</v>
      </c>
      <c r="B173" t="s">
        <v>1509</v>
      </c>
      <c r="C173" t="s">
        <v>1510</v>
      </c>
      <c r="D173" t="s">
        <v>1511</v>
      </c>
      <c r="E173" t="s">
        <v>1512</v>
      </c>
      <c r="F173" t="s">
        <v>1510</v>
      </c>
      <c r="G173" t="s">
        <v>1513</v>
      </c>
      <c r="H173" t="s">
        <v>1514</v>
      </c>
      <c r="I173" t="s">
        <v>730</v>
      </c>
      <c r="J173" t="s">
        <v>731</v>
      </c>
      <c r="K173" t="s">
        <v>38</v>
      </c>
      <c r="L173" t="s">
        <v>39</v>
      </c>
      <c r="M173" t="s">
        <v>1515</v>
      </c>
      <c r="N173" t="s">
        <v>1516</v>
      </c>
      <c r="O173" t="s">
        <v>1517</v>
      </c>
    </row>
    <row r="174" spans="1:15" x14ac:dyDescent="0.25">
      <c r="A174" t="s">
        <v>1518</v>
      </c>
      <c r="B174" t="s">
        <v>1519</v>
      </c>
      <c r="C174" t="s">
        <v>1520</v>
      </c>
      <c r="D174" t="s">
        <v>1521</v>
      </c>
      <c r="E174" t="s">
        <v>1522</v>
      </c>
      <c r="F174" t="s">
        <v>1520</v>
      </c>
      <c r="G174" t="s">
        <v>1523</v>
      </c>
      <c r="H174" t="s">
        <v>1524</v>
      </c>
      <c r="I174" t="s">
        <v>394</v>
      </c>
      <c r="J174" t="s">
        <v>395</v>
      </c>
      <c r="K174" t="s">
        <v>38</v>
      </c>
      <c r="L174" t="s">
        <v>39</v>
      </c>
      <c r="M174" t="s">
        <v>1525</v>
      </c>
      <c r="N174" t="s">
        <v>1526</v>
      </c>
      <c r="O174" t="s">
        <v>1527</v>
      </c>
    </row>
    <row r="175" spans="1:15" x14ac:dyDescent="0.25">
      <c r="A175" t="s">
        <v>1528</v>
      </c>
      <c r="B175" t="s">
        <v>1529</v>
      </c>
      <c r="C175" t="s">
        <v>1530</v>
      </c>
      <c r="D175" t="s">
        <v>1531</v>
      </c>
      <c r="E175" t="s">
        <v>1532</v>
      </c>
      <c r="F175" t="s">
        <v>1533</v>
      </c>
      <c r="G175" t="s">
        <v>835</v>
      </c>
      <c r="H175" t="s">
        <v>836</v>
      </c>
      <c r="I175" t="s">
        <v>299</v>
      </c>
      <c r="J175" t="s">
        <v>300</v>
      </c>
      <c r="K175" t="s">
        <v>38</v>
      </c>
      <c r="L175" t="s">
        <v>39</v>
      </c>
      <c r="M175" t="s">
        <v>1534</v>
      </c>
      <c r="N175" t="s">
        <v>1535</v>
      </c>
      <c r="O175" t="s">
        <v>1536</v>
      </c>
    </row>
    <row r="176" spans="1:15" x14ac:dyDescent="0.25">
      <c r="A176" t="s">
        <v>1537</v>
      </c>
      <c r="B176" t="s">
        <v>1538</v>
      </c>
      <c r="C176" t="s">
        <v>1539</v>
      </c>
      <c r="D176" t="s">
        <v>1540</v>
      </c>
      <c r="E176" t="s">
        <v>1541</v>
      </c>
      <c r="F176" t="s">
        <v>1539</v>
      </c>
      <c r="G176" t="s">
        <v>835</v>
      </c>
      <c r="H176" t="s">
        <v>836</v>
      </c>
      <c r="I176" t="s">
        <v>730</v>
      </c>
      <c r="J176" t="s">
        <v>731</v>
      </c>
      <c r="K176" t="s">
        <v>38</v>
      </c>
      <c r="L176" t="s">
        <v>39</v>
      </c>
      <c r="M176" t="s">
        <v>1542</v>
      </c>
      <c r="N176" t="s">
        <v>1543</v>
      </c>
      <c r="O176" t="s">
        <v>1544</v>
      </c>
    </row>
    <row r="177" spans="1:15" x14ac:dyDescent="0.25">
      <c r="A177" t="s">
        <v>1545</v>
      </c>
      <c r="B177" t="s">
        <v>1546</v>
      </c>
      <c r="C177" t="s">
        <v>1547</v>
      </c>
      <c r="D177" t="s">
        <v>1548</v>
      </c>
      <c r="E177" t="s">
        <v>1549</v>
      </c>
      <c r="F177" t="s">
        <v>1547</v>
      </c>
      <c r="G177" t="s">
        <v>835</v>
      </c>
      <c r="H177" t="s">
        <v>836</v>
      </c>
      <c r="I177" t="s">
        <v>730</v>
      </c>
      <c r="J177" t="s">
        <v>731</v>
      </c>
      <c r="K177" t="s">
        <v>38</v>
      </c>
      <c r="L177" t="s">
        <v>39</v>
      </c>
      <c r="M177" t="s">
        <v>1550</v>
      </c>
      <c r="N177" t="s">
        <v>1551</v>
      </c>
      <c r="O177" t="s">
        <v>1552</v>
      </c>
    </row>
    <row r="178" spans="1:15" x14ac:dyDescent="0.25">
      <c r="A178" t="s">
        <v>1553</v>
      </c>
      <c r="B178" t="s">
        <v>1554</v>
      </c>
      <c r="C178" t="s">
        <v>1555</v>
      </c>
      <c r="D178" t="s">
        <v>1556</v>
      </c>
      <c r="E178" t="s">
        <v>1557</v>
      </c>
      <c r="F178" t="s">
        <v>1555</v>
      </c>
      <c r="G178" t="s">
        <v>1356</v>
      </c>
      <c r="H178" t="s">
        <v>1357</v>
      </c>
      <c r="I178" t="s">
        <v>299</v>
      </c>
      <c r="J178" t="s">
        <v>300</v>
      </c>
      <c r="K178" t="s">
        <v>38</v>
      </c>
      <c r="L178" t="s">
        <v>39</v>
      </c>
      <c r="M178" t="s">
        <v>1558</v>
      </c>
      <c r="N178" t="s">
        <v>1559</v>
      </c>
      <c r="O178" t="s">
        <v>1560</v>
      </c>
    </row>
    <row r="179" spans="1:15" x14ac:dyDescent="0.25">
      <c r="A179" t="s">
        <v>1561</v>
      </c>
      <c r="B179" t="s">
        <v>1562</v>
      </c>
      <c r="C179" t="s">
        <v>1563</v>
      </c>
      <c r="D179" t="s">
        <v>1564</v>
      </c>
      <c r="E179" t="s">
        <v>1565</v>
      </c>
      <c r="F179" t="s">
        <v>1563</v>
      </c>
      <c r="G179" t="s">
        <v>1566</v>
      </c>
      <c r="H179" t="s">
        <v>1567</v>
      </c>
      <c r="I179" t="s">
        <v>299</v>
      </c>
      <c r="J179" t="s">
        <v>300</v>
      </c>
      <c r="K179" t="s">
        <v>38</v>
      </c>
      <c r="L179" t="s">
        <v>39</v>
      </c>
      <c r="M179" t="s">
        <v>1568</v>
      </c>
      <c r="N179" t="s">
        <v>1569</v>
      </c>
      <c r="O179" t="s">
        <v>1570</v>
      </c>
    </row>
    <row r="180" spans="1:15" x14ac:dyDescent="0.25">
      <c r="A180" t="s">
        <v>1571</v>
      </c>
      <c r="B180" t="s">
        <v>1572</v>
      </c>
      <c r="C180" t="s">
        <v>1573</v>
      </c>
      <c r="D180" t="s">
        <v>1574</v>
      </c>
      <c r="E180" t="s">
        <v>1575</v>
      </c>
      <c r="F180" t="s">
        <v>1573</v>
      </c>
      <c r="G180" t="s">
        <v>835</v>
      </c>
      <c r="H180" t="s">
        <v>836</v>
      </c>
      <c r="I180" t="s">
        <v>71</v>
      </c>
      <c r="J180" t="s">
        <v>72</v>
      </c>
      <c r="K180" t="s">
        <v>38</v>
      </c>
      <c r="L180" t="s">
        <v>39</v>
      </c>
      <c r="M180" t="s">
        <v>1576</v>
      </c>
      <c r="N180" t="s">
        <v>1577</v>
      </c>
      <c r="O180" t="s">
        <v>1578</v>
      </c>
    </row>
    <row r="181" spans="1:15" x14ac:dyDescent="0.25">
      <c r="A181" t="s">
        <v>1579</v>
      </c>
      <c r="B181" t="s">
        <v>1580</v>
      </c>
      <c r="C181" t="s">
        <v>1581</v>
      </c>
      <c r="D181" t="s">
        <v>1582</v>
      </c>
      <c r="E181" t="s">
        <v>1583</v>
      </c>
      <c r="F181" t="s">
        <v>1581</v>
      </c>
      <c r="G181" t="s">
        <v>835</v>
      </c>
      <c r="H181" t="s">
        <v>836</v>
      </c>
      <c r="I181" t="s">
        <v>299</v>
      </c>
      <c r="J181" t="s">
        <v>300</v>
      </c>
      <c r="K181" t="s">
        <v>761</v>
      </c>
      <c r="L181" t="s">
        <v>762</v>
      </c>
      <c r="M181" t="s">
        <v>1584</v>
      </c>
      <c r="N181" t="s">
        <v>1585</v>
      </c>
      <c r="O181" t="s">
        <v>1586</v>
      </c>
    </row>
    <row r="182" spans="1:15" x14ac:dyDescent="0.25">
      <c r="A182" t="s">
        <v>1587</v>
      </c>
      <c r="B182" t="s">
        <v>1588</v>
      </c>
      <c r="C182" t="s">
        <v>1589</v>
      </c>
      <c r="D182" t="s">
        <v>1590</v>
      </c>
      <c r="E182" t="s">
        <v>1591</v>
      </c>
      <c r="F182" t="s">
        <v>1589</v>
      </c>
      <c r="G182" t="s">
        <v>686</v>
      </c>
      <c r="H182" t="s">
        <v>687</v>
      </c>
      <c r="I182" t="s">
        <v>299</v>
      </c>
      <c r="J182" t="s">
        <v>300</v>
      </c>
      <c r="K182" t="s">
        <v>690</v>
      </c>
      <c r="L182" t="s">
        <v>691</v>
      </c>
      <c r="M182" t="s">
        <v>1592</v>
      </c>
      <c r="N182" t="s">
        <v>1593</v>
      </c>
      <c r="O182" t="s">
        <v>1594</v>
      </c>
    </row>
    <row r="183" spans="1:15" x14ac:dyDescent="0.25">
      <c r="A183" t="s">
        <v>1595</v>
      </c>
      <c r="B183" t="s">
        <v>1596</v>
      </c>
      <c r="C183" t="s">
        <v>1597</v>
      </c>
      <c r="D183" t="s">
        <v>1598</v>
      </c>
      <c r="E183" t="s">
        <v>1599</v>
      </c>
      <c r="F183" t="s">
        <v>1600</v>
      </c>
      <c r="G183" t="s">
        <v>1601</v>
      </c>
      <c r="H183" t="s">
        <v>1602</v>
      </c>
      <c r="I183" t="s">
        <v>299</v>
      </c>
      <c r="J183" t="s">
        <v>300</v>
      </c>
      <c r="K183" t="s">
        <v>373</v>
      </c>
      <c r="L183" t="s">
        <v>374</v>
      </c>
      <c r="M183" t="s">
        <v>1603</v>
      </c>
      <c r="N183" t="s">
        <v>1604</v>
      </c>
      <c r="O183" t="s">
        <v>1605</v>
      </c>
    </row>
    <row r="184" spans="1:15" x14ac:dyDescent="0.25">
      <c r="A184" t="s">
        <v>1606</v>
      </c>
      <c r="B184" t="s">
        <v>1607</v>
      </c>
      <c r="C184" t="s">
        <v>1608</v>
      </c>
      <c r="D184" t="s">
        <v>1609</v>
      </c>
      <c r="E184" t="s">
        <v>1610</v>
      </c>
      <c r="F184" t="s">
        <v>1611</v>
      </c>
      <c r="G184" t="s">
        <v>835</v>
      </c>
      <c r="H184" t="s">
        <v>836</v>
      </c>
      <c r="I184" t="s">
        <v>299</v>
      </c>
      <c r="J184" t="s">
        <v>300</v>
      </c>
      <c r="K184" t="s">
        <v>373</v>
      </c>
      <c r="L184" t="s">
        <v>374</v>
      </c>
      <c r="M184" t="s">
        <v>1612</v>
      </c>
      <c r="N184" t="s">
        <v>1613</v>
      </c>
      <c r="O184" t="s">
        <v>1614</v>
      </c>
    </row>
    <row r="185" spans="1:15" x14ac:dyDescent="0.25">
      <c r="A185" t="s">
        <v>1615</v>
      </c>
      <c r="B185" t="s">
        <v>1616</v>
      </c>
      <c r="C185" t="s">
        <v>1617</v>
      </c>
      <c r="D185" t="s">
        <v>1618</v>
      </c>
      <c r="E185" t="s">
        <v>1619</v>
      </c>
      <c r="F185" t="s">
        <v>1617</v>
      </c>
      <c r="G185" t="s">
        <v>835</v>
      </c>
      <c r="H185" t="s">
        <v>836</v>
      </c>
      <c r="I185" t="s">
        <v>299</v>
      </c>
      <c r="J185" t="s">
        <v>300</v>
      </c>
      <c r="K185" t="s">
        <v>1031</v>
      </c>
      <c r="L185" t="s">
        <v>1032</v>
      </c>
      <c r="M185" t="s">
        <v>1620</v>
      </c>
      <c r="N185" t="s">
        <v>1621</v>
      </c>
      <c r="O185" t="s">
        <v>1622</v>
      </c>
    </row>
    <row r="186" spans="1:15" x14ac:dyDescent="0.25">
      <c r="A186" t="s">
        <v>1623</v>
      </c>
      <c r="B186" t="s">
        <v>1624</v>
      </c>
      <c r="C186" t="s">
        <v>1625</v>
      </c>
      <c r="D186" t="s">
        <v>1626</v>
      </c>
      <c r="E186" t="s">
        <v>1627</v>
      </c>
      <c r="F186" t="s">
        <v>1625</v>
      </c>
      <c r="G186" t="s">
        <v>835</v>
      </c>
      <c r="H186" t="s">
        <v>836</v>
      </c>
      <c r="I186" t="s">
        <v>299</v>
      </c>
      <c r="J186" t="s">
        <v>300</v>
      </c>
      <c r="K186" t="s">
        <v>1031</v>
      </c>
      <c r="L186" t="s">
        <v>1032</v>
      </c>
      <c r="M186" t="s">
        <v>1628</v>
      </c>
      <c r="N186" t="s">
        <v>1629</v>
      </c>
      <c r="O186" t="s">
        <v>1630</v>
      </c>
    </row>
    <row r="187" spans="1:15" x14ac:dyDescent="0.25">
      <c r="A187" t="s">
        <v>1631</v>
      </c>
      <c r="B187" t="s">
        <v>1632</v>
      </c>
      <c r="C187" t="s">
        <v>1633</v>
      </c>
      <c r="D187" t="s">
        <v>1634</v>
      </c>
      <c r="E187" t="s">
        <v>1635</v>
      </c>
      <c r="F187" t="s">
        <v>1633</v>
      </c>
      <c r="G187" t="s">
        <v>835</v>
      </c>
      <c r="H187" t="s">
        <v>836</v>
      </c>
      <c r="I187" t="s">
        <v>299</v>
      </c>
      <c r="J187" t="s">
        <v>300</v>
      </c>
      <c r="K187" t="s">
        <v>1031</v>
      </c>
      <c r="L187" t="s">
        <v>1032</v>
      </c>
      <c r="M187" t="s">
        <v>1636</v>
      </c>
      <c r="N187" t="s">
        <v>1637</v>
      </c>
      <c r="O187" t="s">
        <v>1638</v>
      </c>
    </row>
    <row r="188" spans="1:15" x14ac:dyDescent="0.25">
      <c r="A188" t="s">
        <v>1639</v>
      </c>
      <c r="B188" t="s">
        <v>1640</v>
      </c>
      <c r="C188" t="s">
        <v>1641</v>
      </c>
      <c r="D188" t="s">
        <v>1642</v>
      </c>
      <c r="E188" t="s">
        <v>1643</v>
      </c>
      <c r="F188" t="s">
        <v>1641</v>
      </c>
      <c r="G188" t="s">
        <v>835</v>
      </c>
      <c r="H188" t="s">
        <v>836</v>
      </c>
      <c r="I188" t="s">
        <v>299</v>
      </c>
      <c r="J188" t="s">
        <v>300</v>
      </c>
      <c r="K188" t="s">
        <v>1031</v>
      </c>
      <c r="L188" t="s">
        <v>1032</v>
      </c>
      <c r="M188" t="s">
        <v>1644</v>
      </c>
      <c r="N188" t="s">
        <v>1645</v>
      </c>
      <c r="O188" t="s">
        <v>1646</v>
      </c>
    </row>
    <row r="189" spans="1:15" x14ac:dyDescent="0.25">
      <c r="A189" t="s">
        <v>1647</v>
      </c>
      <c r="B189" t="s">
        <v>1648</v>
      </c>
      <c r="C189" t="s">
        <v>1649</v>
      </c>
      <c r="D189" t="s">
        <v>1650</v>
      </c>
      <c r="E189" t="s">
        <v>1651</v>
      </c>
      <c r="F189" t="s">
        <v>1649</v>
      </c>
      <c r="G189" t="s">
        <v>835</v>
      </c>
      <c r="H189" t="s">
        <v>836</v>
      </c>
      <c r="I189" t="s">
        <v>299</v>
      </c>
      <c r="J189" t="s">
        <v>300</v>
      </c>
      <c r="K189" t="s">
        <v>1031</v>
      </c>
      <c r="L189" t="s">
        <v>1032</v>
      </c>
      <c r="M189" t="s">
        <v>1652</v>
      </c>
      <c r="N189" t="s">
        <v>1653</v>
      </c>
      <c r="O189" t="s">
        <v>1654</v>
      </c>
    </row>
    <row r="190" spans="1:15" x14ac:dyDescent="0.25">
      <c r="A190" t="s">
        <v>1655</v>
      </c>
      <c r="B190" t="s">
        <v>1656</v>
      </c>
      <c r="C190" t="s">
        <v>1657</v>
      </c>
      <c r="D190" t="s">
        <v>1658</v>
      </c>
      <c r="E190" t="s">
        <v>1659</v>
      </c>
      <c r="F190" t="s">
        <v>1657</v>
      </c>
      <c r="G190" t="s">
        <v>835</v>
      </c>
      <c r="H190" t="s">
        <v>836</v>
      </c>
      <c r="I190" t="s">
        <v>299</v>
      </c>
      <c r="J190" t="s">
        <v>300</v>
      </c>
      <c r="K190" t="s">
        <v>1031</v>
      </c>
      <c r="L190" t="s">
        <v>1032</v>
      </c>
      <c r="M190" t="s">
        <v>1660</v>
      </c>
      <c r="N190" t="s">
        <v>1661</v>
      </c>
      <c r="O190" t="s">
        <v>1662</v>
      </c>
    </row>
    <row r="191" spans="1:15" x14ac:dyDescent="0.25">
      <c r="A191" t="s">
        <v>1663</v>
      </c>
      <c r="B191" t="s">
        <v>1664</v>
      </c>
      <c r="C191" t="s">
        <v>1665</v>
      </c>
      <c r="D191" t="s">
        <v>1666</v>
      </c>
      <c r="E191" t="s">
        <v>1667</v>
      </c>
      <c r="F191" t="s">
        <v>1665</v>
      </c>
      <c r="G191" t="s">
        <v>835</v>
      </c>
      <c r="H191" t="s">
        <v>836</v>
      </c>
      <c r="I191" t="s">
        <v>299</v>
      </c>
      <c r="J191" t="s">
        <v>300</v>
      </c>
      <c r="K191" t="s">
        <v>1031</v>
      </c>
      <c r="L191" t="s">
        <v>1032</v>
      </c>
      <c r="M191" t="s">
        <v>1668</v>
      </c>
      <c r="N191" t="s">
        <v>1669</v>
      </c>
      <c r="O191" t="s">
        <v>1670</v>
      </c>
    </row>
    <row r="192" spans="1:15" x14ac:dyDescent="0.25">
      <c r="A192" t="s">
        <v>1671</v>
      </c>
      <c r="B192" t="s">
        <v>1672</v>
      </c>
      <c r="C192" t="s">
        <v>1673</v>
      </c>
      <c r="D192" t="s">
        <v>1674</v>
      </c>
      <c r="E192" t="s">
        <v>1675</v>
      </c>
      <c r="F192" t="s">
        <v>1673</v>
      </c>
      <c r="G192" t="s">
        <v>835</v>
      </c>
      <c r="H192" t="s">
        <v>836</v>
      </c>
      <c r="I192" t="s">
        <v>299</v>
      </c>
      <c r="J192" t="s">
        <v>300</v>
      </c>
      <c r="K192" t="s">
        <v>1031</v>
      </c>
      <c r="L192" t="s">
        <v>1032</v>
      </c>
      <c r="M192" t="s">
        <v>1676</v>
      </c>
      <c r="N192" t="s">
        <v>1677</v>
      </c>
      <c r="O192" t="s">
        <v>1678</v>
      </c>
    </row>
    <row r="193" spans="1:15" x14ac:dyDescent="0.25">
      <c r="A193" t="s">
        <v>1679</v>
      </c>
      <c r="B193" t="s">
        <v>1680</v>
      </c>
      <c r="C193" t="s">
        <v>1681</v>
      </c>
      <c r="D193" t="s">
        <v>1682</v>
      </c>
      <c r="E193" t="s">
        <v>1683</v>
      </c>
      <c r="F193" t="s">
        <v>1681</v>
      </c>
      <c r="G193" t="s">
        <v>835</v>
      </c>
      <c r="H193" t="s">
        <v>836</v>
      </c>
      <c r="I193" t="s">
        <v>299</v>
      </c>
      <c r="J193" t="s">
        <v>300</v>
      </c>
      <c r="K193" t="s">
        <v>1031</v>
      </c>
      <c r="L193" t="s">
        <v>1032</v>
      </c>
      <c r="M193" t="s">
        <v>1684</v>
      </c>
      <c r="N193" t="s">
        <v>1685</v>
      </c>
      <c r="O193" t="s">
        <v>1686</v>
      </c>
    </row>
    <row r="194" spans="1:15" x14ac:dyDescent="0.25">
      <c r="A194" t="s">
        <v>1687</v>
      </c>
      <c r="B194" t="s">
        <v>1688</v>
      </c>
      <c r="C194" t="s">
        <v>1689</v>
      </c>
      <c r="D194" t="s">
        <v>1690</v>
      </c>
      <c r="E194" t="s">
        <v>1691</v>
      </c>
      <c r="F194" t="s">
        <v>1692</v>
      </c>
      <c r="G194" t="s">
        <v>835</v>
      </c>
      <c r="H194" t="s">
        <v>836</v>
      </c>
      <c r="I194" t="s">
        <v>299</v>
      </c>
      <c r="J194" t="s">
        <v>300</v>
      </c>
      <c r="K194" t="s">
        <v>1031</v>
      </c>
      <c r="L194" t="s">
        <v>1032</v>
      </c>
      <c r="M194" t="s">
        <v>1693</v>
      </c>
      <c r="N194" t="s">
        <v>1694</v>
      </c>
      <c r="O194" t="s">
        <v>1695</v>
      </c>
    </row>
    <row r="195" spans="1:15" x14ac:dyDescent="0.25">
      <c r="A195" t="s">
        <v>1696</v>
      </c>
      <c r="B195" t="s">
        <v>1697</v>
      </c>
      <c r="C195" t="s">
        <v>1698</v>
      </c>
      <c r="D195" t="s">
        <v>1699</v>
      </c>
      <c r="E195" t="s">
        <v>1700</v>
      </c>
      <c r="F195" t="s">
        <v>1698</v>
      </c>
      <c r="G195" t="s">
        <v>835</v>
      </c>
      <c r="H195" t="s">
        <v>836</v>
      </c>
      <c r="I195" t="s">
        <v>299</v>
      </c>
      <c r="J195" t="s">
        <v>300</v>
      </c>
      <c r="K195" t="s">
        <v>1031</v>
      </c>
      <c r="L195" t="s">
        <v>1032</v>
      </c>
      <c r="M195" t="s">
        <v>1701</v>
      </c>
      <c r="N195" t="s">
        <v>1702</v>
      </c>
      <c r="O195" t="s">
        <v>1703</v>
      </c>
    </row>
    <row r="196" spans="1:15" x14ac:dyDescent="0.25">
      <c r="A196" t="s">
        <v>1704</v>
      </c>
      <c r="B196" t="s">
        <v>1705</v>
      </c>
      <c r="C196" t="s">
        <v>1706</v>
      </c>
      <c r="D196" t="s">
        <v>1707</v>
      </c>
      <c r="E196" t="s">
        <v>1708</v>
      </c>
      <c r="F196" t="s">
        <v>1706</v>
      </c>
      <c r="G196" t="s">
        <v>835</v>
      </c>
      <c r="H196" t="s">
        <v>836</v>
      </c>
      <c r="I196" t="s">
        <v>299</v>
      </c>
      <c r="J196" t="s">
        <v>300</v>
      </c>
      <c r="K196" t="s">
        <v>1031</v>
      </c>
      <c r="L196" t="s">
        <v>1032</v>
      </c>
      <c r="M196" t="s">
        <v>1709</v>
      </c>
      <c r="N196" t="s">
        <v>1710</v>
      </c>
      <c r="O196" t="s">
        <v>1711</v>
      </c>
    </row>
    <row r="197" spans="1:15" x14ac:dyDescent="0.25">
      <c r="A197" t="s">
        <v>1712</v>
      </c>
      <c r="B197" t="s">
        <v>1713</v>
      </c>
      <c r="C197" t="s">
        <v>1714</v>
      </c>
      <c r="D197" t="s">
        <v>1715</v>
      </c>
      <c r="E197" t="s">
        <v>1716</v>
      </c>
      <c r="F197" t="s">
        <v>1714</v>
      </c>
      <c r="G197" t="s">
        <v>835</v>
      </c>
      <c r="H197" t="s">
        <v>836</v>
      </c>
      <c r="I197" t="s">
        <v>299</v>
      </c>
      <c r="J197" t="s">
        <v>300</v>
      </c>
      <c r="K197" t="s">
        <v>1031</v>
      </c>
      <c r="L197" t="s">
        <v>1032</v>
      </c>
      <c r="M197" t="s">
        <v>1717</v>
      </c>
      <c r="N197" t="s">
        <v>1718</v>
      </c>
      <c r="O197" t="s">
        <v>1719</v>
      </c>
    </row>
    <row r="198" spans="1:15" x14ac:dyDescent="0.25">
      <c r="A198" t="s">
        <v>1720</v>
      </c>
      <c r="B198" t="s">
        <v>1721</v>
      </c>
      <c r="C198" t="s">
        <v>1722</v>
      </c>
      <c r="D198" t="s">
        <v>1723</v>
      </c>
      <c r="E198" t="s">
        <v>1724</v>
      </c>
      <c r="F198" t="s">
        <v>1722</v>
      </c>
      <c r="G198" t="s">
        <v>835</v>
      </c>
      <c r="H198" t="s">
        <v>836</v>
      </c>
      <c r="I198" t="s">
        <v>299</v>
      </c>
      <c r="J198" t="s">
        <v>300</v>
      </c>
      <c r="K198" t="s">
        <v>1031</v>
      </c>
      <c r="L198" t="s">
        <v>1032</v>
      </c>
      <c r="M198" t="s">
        <v>1725</v>
      </c>
      <c r="N198" t="s">
        <v>1726</v>
      </c>
      <c r="O198" t="s">
        <v>1727</v>
      </c>
    </row>
    <row r="199" spans="1:15" x14ac:dyDescent="0.25">
      <c r="A199" t="s">
        <v>1728</v>
      </c>
      <c r="B199" t="s">
        <v>1729</v>
      </c>
      <c r="C199" t="s">
        <v>1730</v>
      </c>
      <c r="D199" t="s">
        <v>1731</v>
      </c>
      <c r="E199" t="s">
        <v>1732</v>
      </c>
      <c r="F199" t="s">
        <v>1730</v>
      </c>
      <c r="G199" t="s">
        <v>835</v>
      </c>
      <c r="H199" t="s">
        <v>836</v>
      </c>
      <c r="I199" t="s">
        <v>299</v>
      </c>
      <c r="J199" t="s">
        <v>300</v>
      </c>
      <c r="K199" t="s">
        <v>1031</v>
      </c>
      <c r="L199" t="s">
        <v>1032</v>
      </c>
      <c r="M199" t="s">
        <v>1733</v>
      </c>
      <c r="N199" t="s">
        <v>1734</v>
      </c>
      <c r="O199" t="s">
        <v>1735</v>
      </c>
    </row>
    <row r="200" spans="1:15" x14ac:dyDescent="0.25">
      <c r="A200" t="s">
        <v>1736</v>
      </c>
      <c r="B200" t="s">
        <v>1737</v>
      </c>
      <c r="C200" t="s">
        <v>1738</v>
      </c>
      <c r="D200" t="s">
        <v>1739</v>
      </c>
      <c r="E200" t="s">
        <v>1740</v>
      </c>
      <c r="F200" t="s">
        <v>1738</v>
      </c>
      <c r="G200" t="s">
        <v>835</v>
      </c>
      <c r="H200" t="s">
        <v>836</v>
      </c>
      <c r="I200" t="s">
        <v>299</v>
      </c>
      <c r="J200" t="s">
        <v>300</v>
      </c>
      <c r="K200" t="s">
        <v>1031</v>
      </c>
      <c r="L200" t="s">
        <v>1032</v>
      </c>
      <c r="M200" t="s">
        <v>1741</v>
      </c>
      <c r="N200" t="s">
        <v>1742</v>
      </c>
      <c r="O200" t="s">
        <v>1743</v>
      </c>
    </row>
    <row r="201" spans="1:15" x14ac:dyDescent="0.25">
      <c r="A201" t="s">
        <v>1744</v>
      </c>
      <c r="B201" t="s">
        <v>1745</v>
      </c>
      <c r="C201" t="s">
        <v>1746</v>
      </c>
      <c r="D201" t="s">
        <v>1747</v>
      </c>
      <c r="E201" t="s">
        <v>1748</v>
      </c>
      <c r="F201" t="s">
        <v>1746</v>
      </c>
      <c r="G201" t="s">
        <v>835</v>
      </c>
      <c r="H201" t="s">
        <v>836</v>
      </c>
      <c r="I201" t="s">
        <v>299</v>
      </c>
      <c r="J201" t="s">
        <v>300</v>
      </c>
      <c r="K201" t="s">
        <v>1031</v>
      </c>
      <c r="L201" t="s">
        <v>1032</v>
      </c>
      <c r="M201" t="s">
        <v>1749</v>
      </c>
      <c r="N201" t="s">
        <v>1750</v>
      </c>
      <c r="O201" t="s">
        <v>1751</v>
      </c>
    </row>
    <row r="202" spans="1:15" x14ac:dyDescent="0.25">
      <c r="A202" t="s">
        <v>1752</v>
      </c>
      <c r="B202" t="s">
        <v>1753</v>
      </c>
      <c r="C202" t="s">
        <v>1754</v>
      </c>
      <c r="D202" t="s">
        <v>1755</v>
      </c>
      <c r="E202" t="s">
        <v>1756</v>
      </c>
      <c r="F202" t="s">
        <v>1754</v>
      </c>
      <c r="G202" t="s">
        <v>835</v>
      </c>
      <c r="H202" t="s">
        <v>836</v>
      </c>
      <c r="I202" t="s">
        <v>299</v>
      </c>
      <c r="J202" t="s">
        <v>300</v>
      </c>
      <c r="K202" t="s">
        <v>1031</v>
      </c>
      <c r="L202" t="s">
        <v>1032</v>
      </c>
      <c r="M202" t="s">
        <v>1757</v>
      </c>
      <c r="N202" t="s">
        <v>1758</v>
      </c>
      <c r="O202" t="s">
        <v>1759</v>
      </c>
    </row>
    <row r="203" spans="1:15" x14ac:dyDescent="0.25">
      <c r="A203" t="s">
        <v>1760</v>
      </c>
      <c r="B203" t="s">
        <v>1761</v>
      </c>
      <c r="C203" t="s">
        <v>1762</v>
      </c>
      <c r="D203" t="s">
        <v>1763</v>
      </c>
      <c r="E203" t="s">
        <v>1764</v>
      </c>
      <c r="F203" t="s">
        <v>1765</v>
      </c>
      <c r="G203" t="s">
        <v>123</v>
      </c>
      <c r="H203" t="s">
        <v>124</v>
      </c>
      <c r="I203" t="s">
        <v>36</v>
      </c>
      <c r="J203" t="s">
        <v>37</v>
      </c>
      <c r="K203" t="s">
        <v>1766</v>
      </c>
      <c r="L203" t="s">
        <v>1767</v>
      </c>
      <c r="M203" t="s">
        <v>1768</v>
      </c>
      <c r="N203" t="s">
        <v>1769</v>
      </c>
      <c r="O203" t="s">
        <v>1770</v>
      </c>
    </row>
    <row r="204" spans="1:15" x14ac:dyDescent="0.25">
      <c r="A204" t="s">
        <v>1771</v>
      </c>
      <c r="B204" t="s">
        <v>1772</v>
      </c>
      <c r="C204" t="s">
        <v>1773</v>
      </c>
      <c r="D204" t="s">
        <v>1774</v>
      </c>
      <c r="E204" t="s">
        <v>1775</v>
      </c>
      <c r="F204" t="s">
        <v>1776</v>
      </c>
      <c r="G204" t="s">
        <v>250</v>
      </c>
      <c r="H204" t="s">
        <v>251</v>
      </c>
      <c r="I204" t="s">
        <v>1777</v>
      </c>
      <c r="J204" t="s">
        <v>1778</v>
      </c>
      <c r="K204" t="s">
        <v>1766</v>
      </c>
      <c r="L204" t="s">
        <v>1767</v>
      </c>
      <c r="M204" t="s">
        <v>127</v>
      </c>
      <c r="N204" t="s">
        <v>128</v>
      </c>
      <c r="O204" t="s">
        <v>1779</v>
      </c>
    </row>
    <row r="205" spans="1:15" x14ac:dyDescent="0.25">
      <c r="A205" t="s">
        <v>1780</v>
      </c>
      <c r="B205" t="s">
        <v>1781</v>
      </c>
      <c r="C205" t="s">
        <v>1782</v>
      </c>
      <c r="D205" t="s">
        <v>1783</v>
      </c>
      <c r="E205" t="s">
        <v>1784</v>
      </c>
      <c r="F205" t="s">
        <v>1785</v>
      </c>
      <c r="G205" t="s">
        <v>136</v>
      </c>
      <c r="H205" t="s">
        <v>137</v>
      </c>
      <c r="I205" t="s">
        <v>36</v>
      </c>
      <c r="J205" t="s">
        <v>37</v>
      </c>
      <c r="K205" t="s">
        <v>1766</v>
      </c>
      <c r="L205" t="s">
        <v>1767</v>
      </c>
      <c r="M205" t="s">
        <v>1786</v>
      </c>
      <c r="N205" t="s">
        <v>1787</v>
      </c>
      <c r="O205" t="s">
        <v>1788</v>
      </c>
    </row>
    <row r="206" spans="1:15" x14ac:dyDescent="0.25">
      <c r="A206" t="s">
        <v>1789</v>
      </c>
      <c r="B206" t="s">
        <v>1790</v>
      </c>
      <c r="C206" t="s">
        <v>1791</v>
      </c>
      <c r="D206" t="s">
        <v>1792</v>
      </c>
      <c r="E206" t="s">
        <v>1793</v>
      </c>
      <c r="F206" t="s">
        <v>1794</v>
      </c>
      <c r="G206" t="s">
        <v>1795</v>
      </c>
      <c r="H206" t="s">
        <v>1796</v>
      </c>
      <c r="I206" t="s">
        <v>51</v>
      </c>
      <c r="J206" t="s">
        <v>52</v>
      </c>
      <c r="K206" t="s">
        <v>1766</v>
      </c>
      <c r="L206" t="s">
        <v>1767</v>
      </c>
      <c r="M206" t="s">
        <v>1797</v>
      </c>
      <c r="N206" t="s">
        <v>1798</v>
      </c>
      <c r="O206" t="s">
        <v>1799</v>
      </c>
    </row>
    <row r="207" spans="1:15" x14ac:dyDescent="0.25">
      <c r="A207" t="s">
        <v>1800</v>
      </c>
      <c r="B207" t="s">
        <v>1801</v>
      </c>
      <c r="C207" t="s">
        <v>1802</v>
      </c>
      <c r="D207" t="s">
        <v>1803</v>
      </c>
      <c r="E207" t="s">
        <v>143</v>
      </c>
      <c r="F207" t="s">
        <v>144</v>
      </c>
      <c r="G207" t="s">
        <v>145</v>
      </c>
      <c r="H207" t="s">
        <v>146</v>
      </c>
      <c r="I207" t="s">
        <v>147</v>
      </c>
      <c r="J207" t="s">
        <v>148</v>
      </c>
      <c r="K207" t="s">
        <v>1766</v>
      </c>
      <c r="L207" t="s">
        <v>1767</v>
      </c>
      <c r="M207" t="s">
        <v>149</v>
      </c>
      <c r="N207" t="s">
        <v>150</v>
      </c>
      <c r="O207" t="s">
        <v>1804</v>
      </c>
    </row>
    <row r="208" spans="1:15" x14ac:dyDescent="0.25">
      <c r="A208" t="s">
        <v>1805</v>
      </c>
      <c r="B208" t="s">
        <v>1806</v>
      </c>
      <c r="C208" t="s">
        <v>1807</v>
      </c>
      <c r="D208" t="s">
        <v>1808</v>
      </c>
      <c r="E208" t="s">
        <v>1809</v>
      </c>
      <c r="F208" t="s">
        <v>1810</v>
      </c>
      <c r="G208" t="s">
        <v>849</v>
      </c>
      <c r="H208" t="s">
        <v>850</v>
      </c>
      <c r="I208" t="s">
        <v>147</v>
      </c>
      <c r="J208" t="s">
        <v>148</v>
      </c>
      <c r="K208" t="s">
        <v>1766</v>
      </c>
      <c r="L208" t="s">
        <v>1767</v>
      </c>
      <c r="M208" t="s">
        <v>149</v>
      </c>
      <c r="N208" t="s">
        <v>150</v>
      </c>
      <c r="O208" t="s">
        <v>1811</v>
      </c>
    </row>
    <row r="209" spans="1:15" x14ac:dyDescent="0.25">
      <c r="A209" t="s">
        <v>1812</v>
      </c>
      <c r="B209" t="s">
        <v>1813</v>
      </c>
      <c r="C209" t="s">
        <v>1814</v>
      </c>
      <c r="D209" t="s">
        <v>1815</v>
      </c>
      <c r="E209" t="s">
        <v>1816</v>
      </c>
      <c r="F209" t="s">
        <v>1817</v>
      </c>
      <c r="G209" t="s">
        <v>849</v>
      </c>
      <c r="H209" t="s">
        <v>850</v>
      </c>
      <c r="I209" t="s">
        <v>147</v>
      </c>
      <c r="J209" t="s">
        <v>148</v>
      </c>
      <c r="K209" t="s">
        <v>1766</v>
      </c>
      <c r="L209" t="s">
        <v>1767</v>
      </c>
      <c r="M209" t="s">
        <v>149</v>
      </c>
      <c r="N209" t="s">
        <v>150</v>
      </c>
      <c r="O209" t="s">
        <v>1818</v>
      </c>
    </row>
    <row r="210" spans="1:15" x14ac:dyDescent="0.25">
      <c r="A210" t="s">
        <v>1819</v>
      </c>
      <c r="B210" t="s">
        <v>1820</v>
      </c>
      <c r="C210" t="s">
        <v>1821</v>
      </c>
      <c r="D210" t="s">
        <v>1822</v>
      </c>
      <c r="E210" t="s">
        <v>1823</v>
      </c>
      <c r="F210" t="s">
        <v>1824</v>
      </c>
      <c r="G210" t="s">
        <v>849</v>
      </c>
      <c r="H210" t="s">
        <v>850</v>
      </c>
      <c r="I210" t="s">
        <v>147</v>
      </c>
      <c r="J210" t="s">
        <v>148</v>
      </c>
      <c r="K210" t="s">
        <v>1766</v>
      </c>
      <c r="L210" t="s">
        <v>1767</v>
      </c>
      <c r="M210" t="s">
        <v>149</v>
      </c>
      <c r="N210" t="s">
        <v>150</v>
      </c>
      <c r="O210" t="s">
        <v>1825</v>
      </c>
    </row>
    <row r="211" spans="1:15" x14ac:dyDescent="0.25">
      <c r="A211" t="s">
        <v>1826</v>
      </c>
      <c r="B211" t="s">
        <v>1827</v>
      </c>
      <c r="C211" t="s">
        <v>1828</v>
      </c>
      <c r="D211" t="s">
        <v>1829</v>
      </c>
      <c r="E211" t="s">
        <v>1830</v>
      </c>
      <c r="F211" t="s">
        <v>1831</v>
      </c>
      <c r="G211" t="s">
        <v>250</v>
      </c>
      <c r="H211" t="s">
        <v>251</v>
      </c>
      <c r="I211" t="s">
        <v>252</v>
      </c>
      <c r="J211" t="s">
        <v>253</v>
      </c>
      <c r="K211" t="s">
        <v>1766</v>
      </c>
      <c r="L211" t="s">
        <v>1767</v>
      </c>
      <c r="M211" t="s">
        <v>127</v>
      </c>
      <c r="N211" t="s">
        <v>128</v>
      </c>
      <c r="O211" t="s">
        <v>1832</v>
      </c>
    </row>
    <row r="212" spans="1:15" x14ac:dyDescent="0.25">
      <c r="A212" t="s">
        <v>1833</v>
      </c>
      <c r="B212" t="s">
        <v>1834</v>
      </c>
      <c r="C212" t="s">
        <v>1835</v>
      </c>
      <c r="D212" t="s">
        <v>1836</v>
      </c>
      <c r="E212" t="s">
        <v>33</v>
      </c>
      <c r="F212" t="s">
        <v>34</v>
      </c>
      <c r="G212" t="s">
        <v>35</v>
      </c>
      <c r="H212" t="s">
        <v>34</v>
      </c>
      <c r="I212" t="s">
        <v>36</v>
      </c>
      <c r="J212" t="s">
        <v>37</v>
      </c>
      <c r="K212" t="s">
        <v>1766</v>
      </c>
      <c r="L212" t="s">
        <v>1767</v>
      </c>
      <c r="M212" t="s">
        <v>156</v>
      </c>
      <c r="N212" t="s">
        <v>157</v>
      </c>
      <c r="O212" t="s">
        <v>1837</v>
      </c>
    </row>
    <row r="213" spans="1:15" x14ac:dyDescent="0.25">
      <c r="A213" t="s">
        <v>1838</v>
      </c>
      <c r="B213" t="s">
        <v>1839</v>
      </c>
      <c r="C213" t="s">
        <v>1840</v>
      </c>
      <c r="D213" t="s">
        <v>1841</v>
      </c>
      <c r="E213" t="s">
        <v>33</v>
      </c>
      <c r="F213" t="s">
        <v>34</v>
      </c>
      <c r="G213" t="s">
        <v>35</v>
      </c>
      <c r="H213" t="s">
        <v>34</v>
      </c>
      <c r="I213" t="s">
        <v>36</v>
      </c>
      <c r="J213" t="s">
        <v>37</v>
      </c>
      <c r="K213" t="s">
        <v>1766</v>
      </c>
      <c r="L213" t="s">
        <v>1767</v>
      </c>
      <c r="M213" t="s">
        <v>40</v>
      </c>
      <c r="N213" t="s">
        <v>41</v>
      </c>
      <c r="O213" t="s">
        <v>1842</v>
      </c>
    </row>
    <row r="214" spans="1:15" x14ac:dyDescent="0.25">
      <c r="A214" t="s">
        <v>1843</v>
      </c>
      <c r="B214" t="s">
        <v>1844</v>
      </c>
      <c r="C214" t="s">
        <v>1845</v>
      </c>
      <c r="D214" t="s">
        <v>1846</v>
      </c>
      <c r="E214" t="s">
        <v>1847</v>
      </c>
      <c r="F214" t="s">
        <v>1848</v>
      </c>
      <c r="G214" t="s">
        <v>49</v>
      </c>
      <c r="H214" t="s">
        <v>50</v>
      </c>
      <c r="I214" t="s">
        <v>51</v>
      </c>
      <c r="J214" t="s">
        <v>52</v>
      </c>
      <c r="K214" t="s">
        <v>1766</v>
      </c>
      <c r="L214" t="s">
        <v>1767</v>
      </c>
      <c r="M214" t="s">
        <v>1849</v>
      </c>
      <c r="N214" t="s">
        <v>1850</v>
      </c>
      <c r="O214" t="s">
        <v>1851</v>
      </c>
    </row>
    <row r="215" spans="1:15" x14ac:dyDescent="0.25">
      <c r="A215" t="s">
        <v>1852</v>
      </c>
      <c r="B215" t="s">
        <v>1853</v>
      </c>
      <c r="C215" t="s">
        <v>1854</v>
      </c>
      <c r="D215" t="s">
        <v>1855</v>
      </c>
      <c r="E215" t="s">
        <v>1847</v>
      </c>
      <c r="F215" t="s">
        <v>1848</v>
      </c>
      <c r="G215" t="s">
        <v>49</v>
      </c>
      <c r="H215" t="s">
        <v>50</v>
      </c>
      <c r="I215" t="s">
        <v>51</v>
      </c>
      <c r="J215" t="s">
        <v>52</v>
      </c>
      <c r="K215" t="s">
        <v>1766</v>
      </c>
      <c r="L215" t="s">
        <v>1767</v>
      </c>
      <c r="M215" t="s">
        <v>53</v>
      </c>
      <c r="N215" t="s">
        <v>54</v>
      </c>
      <c r="O215" t="s">
        <v>1856</v>
      </c>
    </row>
    <row r="216" spans="1:15" x14ac:dyDescent="0.25">
      <c r="A216" t="s">
        <v>1857</v>
      </c>
      <c r="B216" t="s">
        <v>1858</v>
      </c>
      <c r="C216" t="s">
        <v>1859</v>
      </c>
      <c r="D216" t="s">
        <v>1860</v>
      </c>
      <c r="E216" t="s">
        <v>1847</v>
      </c>
      <c r="F216" t="s">
        <v>1848</v>
      </c>
      <c r="G216" t="s">
        <v>49</v>
      </c>
      <c r="H216" t="s">
        <v>50</v>
      </c>
      <c r="I216" t="s">
        <v>51</v>
      </c>
      <c r="J216" t="s">
        <v>52</v>
      </c>
      <c r="K216" t="s">
        <v>1766</v>
      </c>
      <c r="L216" t="s">
        <v>1767</v>
      </c>
      <c r="M216" t="s">
        <v>60</v>
      </c>
      <c r="N216" t="s">
        <v>61</v>
      </c>
      <c r="O216" t="s">
        <v>1861</v>
      </c>
    </row>
    <row r="217" spans="1:15" x14ac:dyDescent="0.25">
      <c r="A217" t="s">
        <v>1862</v>
      </c>
      <c r="B217" t="s">
        <v>1863</v>
      </c>
      <c r="C217" t="s">
        <v>1864</v>
      </c>
      <c r="D217" t="s">
        <v>1865</v>
      </c>
      <c r="E217" t="s">
        <v>1847</v>
      </c>
      <c r="F217" t="s">
        <v>1848</v>
      </c>
      <c r="G217" t="s">
        <v>49</v>
      </c>
      <c r="H217" t="s">
        <v>50</v>
      </c>
      <c r="I217" t="s">
        <v>163</v>
      </c>
      <c r="J217" t="s">
        <v>164</v>
      </c>
      <c r="K217" t="s">
        <v>1766</v>
      </c>
      <c r="L217" t="s">
        <v>1767</v>
      </c>
      <c r="M217" t="s">
        <v>53</v>
      </c>
      <c r="N217" t="s">
        <v>54</v>
      </c>
      <c r="O217" t="s">
        <v>1866</v>
      </c>
    </row>
    <row r="218" spans="1:15" x14ac:dyDescent="0.25">
      <c r="A218" t="s">
        <v>1867</v>
      </c>
      <c r="B218" t="s">
        <v>1868</v>
      </c>
      <c r="C218" t="s">
        <v>1869</v>
      </c>
      <c r="D218" t="s">
        <v>1870</v>
      </c>
      <c r="E218" t="s">
        <v>1871</v>
      </c>
      <c r="F218" t="s">
        <v>1872</v>
      </c>
      <c r="G218" t="s">
        <v>643</v>
      </c>
      <c r="H218" t="s">
        <v>644</v>
      </c>
      <c r="I218" t="s">
        <v>36</v>
      </c>
      <c r="J218" t="s">
        <v>37</v>
      </c>
      <c r="K218" t="s">
        <v>1766</v>
      </c>
      <c r="L218" t="s">
        <v>1767</v>
      </c>
      <c r="M218" t="s">
        <v>183</v>
      </c>
      <c r="N218" t="s">
        <v>184</v>
      </c>
      <c r="O218" t="s">
        <v>1873</v>
      </c>
    </row>
    <row r="219" spans="1:15" x14ac:dyDescent="0.25">
      <c r="A219" t="s">
        <v>1874</v>
      </c>
      <c r="B219" t="s">
        <v>1875</v>
      </c>
      <c r="C219" t="s">
        <v>1876</v>
      </c>
      <c r="D219" t="s">
        <v>1877</v>
      </c>
      <c r="E219" t="s">
        <v>1878</v>
      </c>
      <c r="F219" t="s">
        <v>1879</v>
      </c>
      <c r="G219" t="s">
        <v>1880</v>
      </c>
      <c r="H219" t="s">
        <v>1881</v>
      </c>
      <c r="I219" t="s">
        <v>36</v>
      </c>
      <c r="J219" t="s">
        <v>37</v>
      </c>
      <c r="K219" t="s">
        <v>1766</v>
      </c>
      <c r="L219" t="s">
        <v>1767</v>
      </c>
      <c r="M219" t="s">
        <v>203</v>
      </c>
      <c r="N219" t="s">
        <v>204</v>
      </c>
      <c r="O219" t="s">
        <v>1882</v>
      </c>
    </row>
    <row r="220" spans="1:15" x14ac:dyDescent="0.25">
      <c r="A220" t="s">
        <v>1883</v>
      </c>
      <c r="B220" t="s">
        <v>1884</v>
      </c>
      <c r="C220" t="s">
        <v>1885</v>
      </c>
      <c r="D220" t="s">
        <v>1886</v>
      </c>
      <c r="E220" t="s">
        <v>1887</v>
      </c>
      <c r="F220" t="s">
        <v>1888</v>
      </c>
      <c r="G220" t="s">
        <v>192</v>
      </c>
      <c r="H220" t="s">
        <v>193</v>
      </c>
      <c r="I220" t="s">
        <v>36</v>
      </c>
      <c r="J220" t="s">
        <v>37</v>
      </c>
      <c r="K220" t="s">
        <v>1766</v>
      </c>
      <c r="L220" t="s">
        <v>1767</v>
      </c>
      <c r="M220" t="s">
        <v>194</v>
      </c>
      <c r="N220" t="s">
        <v>195</v>
      </c>
      <c r="O220" t="s">
        <v>1889</v>
      </c>
    </row>
    <row r="221" spans="1:15" x14ac:dyDescent="0.25">
      <c r="A221" t="s">
        <v>1890</v>
      </c>
      <c r="B221" t="s">
        <v>1891</v>
      </c>
      <c r="C221" t="s">
        <v>1892</v>
      </c>
      <c r="D221" t="s">
        <v>1893</v>
      </c>
      <c r="E221" t="s">
        <v>217</v>
      </c>
      <c r="F221" t="s">
        <v>218</v>
      </c>
      <c r="G221" t="s">
        <v>21</v>
      </c>
      <c r="H221" t="s">
        <v>17</v>
      </c>
      <c r="I221" t="s">
        <v>219</v>
      </c>
      <c r="J221" t="s">
        <v>218</v>
      </c>
      <c r="K221" t="s">
        <v>1766</v>
      </c>
      <c r="L221" t="s">
        <v>1767</v>
      </c>
      <c r="M221" t="s">
        <v>220</v>
      </c>
      <c r="N221" t="s">
        <v>221</v>
      </c>
      <c r="O221" t="s">
        <v>1894</v>
      </c>
    </row>
    <row r="222" spans="1:15" x14ac:dyDescent="0.25">
      <c r="A222" t="s">
        <v>1895</v>
      </c>
      <c r="B222" t="s">
        <v>1896</v>
      </c>
      <c r="C222" t="s">
        <v>1897</v>
      </c>
      <c r="D222" t="s">
        <v>1898</v>
      </c>
      <c r="E222" t="s">
        <v>1899</v>
      </c>
      <c r="F222" t="s">
        <v>1900</v>
      </c>
      <c r="G222" t="s">
        <v>21</v>
      </c>
      <c r="H222" t="s">
        <v>17</v>
      </c>
      <c r="I222" t="s">
        <v>1057</v>
      </c>
      <c r="J222" t="s">
        <v>1058</v>
      </c>
      <c r="K222" t="s">
        <v>1766</v>
      </c>
      <c r="L222" t="s">
        <v>1767</v>
      </c>
      <c r="M222" t="s">
        <v>1901</v>
      </c>
      <c r="N222" t="s">
        <v>1902</v>
      </c>
      <c r="O222" t="s">
        <v>1903</v>
      </c>
    </row>
    <row r="223" spans="1:15" x14ac:dyDescent="0.25">
      <c r="A223" t="s">
        <v>1904</v>
      </c>
      <c r="B223" t="s">
        <v>1905</v>
      </c>
      <c r="C223" t="s">
        <v>1906</v>
      </c>
      <c r="D223" t="s">
        <v>1907</v>
      </c>
      <c r="E223" t="s">
        <v>1908</v>
      </c>
      <c r="F223" t="s">
        <v>1909</v>
      </c>
      <c r="G223" t="s">
        <v>1910</v>
      </c>
      <c r="H223" t="s">
        <v>1911</v>
      </c>
      <c r="I223" t="s">
        <v>36</v>
      </c>
      <c r="J223" t="s">
        <v>37</v>
      </c>
      <c r="K223" t="s">
        <v>1766</v>
      </c>
      <c r="L223" t="s">
        <v>1767</v>
      </c>
      <c r="M223" t="s">
        <v>1912</v>
      </c>
      <c r="N223" t="s">
        <v>1913</v>
      </c>
      <c r="O223" t="s">
        <v>1914</v>
      </c>
    </row>
    <row r="224" spans="1:15" x14ac:dyDescent="0.25">
      <c r="A224" t="s">
        <v>1915</v>
      </c>
      <c r="B224" t="s">
        <v>1916</v>
      </c>
      <c r="C224" t="s">
        <v>1917</v>
      </c>
      <c r="D224" t="s">
        <v>1918</v>
      </c>
      <c r="E224" t="s">
        <v>1919</v>
      </c>
      <c r="F224" t="s">
        <v>1920</v>
      </c>
      <c r="G224" t="s">
        <v>1921</v>
      </c>
      <c r="H224" t="s">
        <v>1922</v>
      </c>
      <c r="I224" t="s">
        <v>36</v>
      </c>
      <c r="J224" t="s">
        <v>37</v>
      </c>
      <c r="K224" t="s">
        <v>1766</v>
      </c>
      <c r="L224" t="s">
        <v>1767</v>
      </c>
      <c r="M224" t="s">
        <v>1923</v>
      </c>
      <c r="N224" t="s">
        <v>1924</v>
      </c>
      <c r="O224" t="s">
        <v>1925</v>
      </c>
    </row>
    <row r="225" spans="1:15" x14ac:dyDescent="0.25">
      <c r="A225" t="s">
        <v>1926</v>
      </c>
      <c r="B225" t="s">
        <v>1927</v>
      </c>
      <c r="C225" t="s">
        <v>1928</v>
      </c>
      <c r="D225" t="s">
        <v>1929</v>
      </c>
      <c r="E225" t="s">
        <v>227</v>
      </c>
      <c r="F225" t="s">
        <v>228</v>
      </c>
      <c r="G225" t="s">
        <v>229</v>
      </c>
      <c r="H225" t="s">
        <v>230</v>
      </c>
      <c r="I225" t="s">
        <v>51</v>
      </c>
      <c r="J225" t="s">
        <v>52</v>
      </c>
      <c r="K225" t="s">
        <v>1766</v>
      </c>
      <c r="L225" t="s">
        <v>1767</v>
      </c>
      <c r="M225" t="s">
        <v>231</v>
      </c>
      <c r="N225" t="s">
        <v>232</v>
      </c>
      <c r="O225" t="s">
        <v>1930</v>
      </c>
    </row>
    <row r="226" spans="1:15" x14ac:dyDescent="0.25">
      <c r="A226" t="s">
        <v>1931</v>
      </c>
      <c r="B226" t="s">
        <v>1932</v>
      </c>
      <c r="C226" t="s">
        <v>1933</v>
      </c>
      <c r="D226" t="s">
        <v>1934</v>
      </c>
      <c r="E226" t="s">
        <v>227</v>
      </c>
      <c r="F226" t="s">
        <v>228</v>
      </c>
      <c r="G226" t="s">
        <v>229</v>
      </c>
      <c r="H226" t="s">
        <v>230</v>
      </c>
      <c r="I226" t="s">
        <v>299</v>
      </c>
      <c r="J226" t="s">
        <v>300</v>
      </c>
      <c r="K226" t="s">
        <v>1766</v>
      </c>
      <c r="L226" t="s">
        <v>1767</v>
      </c>
      <c r="M226" t="s">
        <v>1935</v>
      </c>
      <c r="N226" t="s">
        <v>1936</v>
      </c>
      <c r="O226" t="s">
        <v>1937</v>
      </c>
    </row>
    <row r="227" spans="1:15" x14ac:dyDescent="0.25">
      <c r="A227" t="s">
        <v>1938</v>
      </c>
      <c r="B227" t="s">
        <v>1939</v>
      </c>
      <c r="C227" t="s">
        <v>1940</v>
      </c>
      <c r="D227" t="s">
        <v>1941</v>
      </c>
      <c r="E227" t="s">
        <v>1942</v>
      </c>
      <c r="F227" t="s">
        <v>1943</v>
      </c>
      <c r="G227" t="s">
        <v>21</v>
      </c>
      <c r="H227" t="s">
        <v>17</v>
      </c>
      <c r="I227" t="s">
        <v>91</v>
      </c>
      <c r="J227" t="s">
        <v>92</v>
      </c>
      <c r="K227" t="s">
        <v>1766</v>
      </c>
      <c r="L227" t="s">
        <v>1767</v>
      </c>
      <c r="M227" t="s">
        <v>93</v>
      </c>
      <c r="N227" t="s">
        <v>94</v>
      </c>
      <c r="O227" t="s">
        <v>1944</v>
      </c>
    </row>
    <row r="228" spans="1:15" x14ac:dyDescent="0.25">
      <c r="A228" t="s">
        <v>1945</v>
      </c>
      <c r="B228" t="s">
        <v>1946</v>
      </c>
      <c r="C228" t="s">
        <v>1947</v>
      </c>
      <c r="D228" t="s">
        <v>1948</v>
      </c>
      <c r="E228" t="s">
        <v>1942</v>
      </c>
      <c r="F228" t="s">
        <v>1943</v>
      </c>
      <c r="G228" t="s">
        <v>21</v>
      </c>
      <c r="H228" t="s">
        <v>17</v>
      </c>
      <c r="I228" t="s">
        <v>163</v>
      </c>
      <c r="J228" t="s">
        <v>164</v>
      </c>
      <c r="K228" t="s">
        <v>1766</v>
      </c>
      <c r="L228" t="s">
        <v>1767</v>
      </c>
      <c r="M228" t="s">
        <v>93</v>
      </c>
      <c r="N228" t="s">
        <v>94</v>
      </c>
      <c r="O228" t="s">
        <v>1949</v>
      </c>
    </row>
    <row r="229" spans="1:15" x14ac:dyDescent="0.25">
      <c r="A229" t="s">
        <v>1950</v>
      </c>
      <c r="B229" t="s">
        <v>1951</v>
      </c>
      <c r="C229" t="s">
        <v>1952</v>
      </c>
      <c r="D229" t="s">
        <v>1953</v>
      </c>
      <c r="E229" t="s">
        <v>1942</v>
      </c>
      <c r="F229" t="s">
        <v>1943</v>
      </c>
      <c r="G229" t="s">
        <v>21</v>
      </c>
      <c r="H229" t="s">
        <v>17</v>
      </c>
      <c r="I229" t="s">
        <v>299</v>
      </c>
      <c r="J229" t="s">
        <v>300</v>
      </c>
      <c r="K229" t="s">
        <v>1766</v>
      </c>
      <c r="L229" t="s">
        <v>1767</v>
      </c>
      <c r="M229" t="s">
        <v>1954</v>
      </c>
      <c r="N229" t="s">
        <v>1955</v>
      </c>
      <c r="O229" t="s">
        <v>1956</v>
      </c>
    </row>
    <row r="230" spans="1:15" x14ac:dyDescent="0.25">
      <c r="A230" t="s">
        <v>1957</v>
      </c>
      <c r="B230" t="s">
        <v>1958</v>
      </c>
      <c r="C230" t="s">
        <v>1959</v>
      </c>
      <c r="D230" t="s">
        <v>1960</v>
      </c>
      <c r="E230" t="s">
        <v>1961</v>
      </c>
      <c r="F230" t="s">
        <v>1962</v>
      </c>
      <c r="G230" t="s">
        <v>625</v>
      </c>
      <c r="H230" t="s">
        <v>626</v>
      </c>
      <c r="I230" t="s">
        <v>51</v>
      </c>
      <c r="J230" t="s">
        <v>52</v>
      </c>
      <c r="K230" t="s">
        <v>1766</v>
      </c>
      <c r="L230" t="s">
        <v>1767</v>
      </c>
      <c r="M230" t="s">
        <v>1849</v>
      </c>
      <c r="N230" t="s">
        <v>1850</v>
      </c>
      <c r="O230" t="s">
        <v>1963</v>
      </c>
    </row>
    <row r="231" spans="1:15" x14ac:dyDescent="0.25">
      <c r="A231" t="s">
        <v>1964</v>
      </c>
      <c r="B231" t="s">
        <v>1965</v>
      </c>
      <c r="C231" t="s">
        <v>1966</v>
      </c>
      <c r="D231" t="s">
        <v>1967</v>
      </c>
      <c r="E231" t="s">
        <v>1961</v>
      </c>
      <c r="F231" t="s">
        <v>1962</v>
      </c>
      <c r="G231" t="s">
        <v>625</v>
      </c>
      <c r="H231" t="s">
        <v>626</v>
      </c>
      <c r="I231" t="s">
        <v>51</v>
      </c>
      <c r="J231" t="s">
        <v>52</v>
      </c>
      <c r="K231" t="s">
        <v>1766</v>
      </c>
      <c r="L231" t="s">
        <v>1767</v>
      </c>
      <c r="M231" t="s">
        <v>109</v>
      </c>
      <c r="N231" t="s">
        <v>110</v>
      </c>
      <c r="O231" t="s">
        <v>1968</v>
      </c>
    </row>
    <row r="232" spans="1:15" x14ac:dyDescent="0.25">
      <c r="A232" t="s">
        <v>1969</v>
      </c>
      <c r="B232" t="s">
        <v>1970</v>
      </c>
      <c r="C232" t="s">
        <v>1971</v>
      </c>
      <c r="D232" t="s">
        <v>1972</v>
      </c>
      <c r="E232" t="s">
        <v>1961</v>
      </c>
      <c r="F232" t="s">
        <v>1962</v>
      </c>
      <c r="G232" t="s">
        <v>625</v>
      </c>
      <c r="H232" t="s">
        <v>626</v>
      </c>
      <c r="I232" t="s">
        <v>51</v>
      </c>
      <c r="J232" t="s">
        <v>52</v>
      </c>
      <c r="K232" t="s">
        <v>1766</v>
      </c>
      <c r="L232" t="s">
        <v>1767</v>
      </c>
      <c r="M232" t="s">
        <v>60</v>
      </c>
      <c r="N232" t="s">
        <v>61</v>
      </c>
      <c r="O232" t="s">
        <v>1973</v>
      </c>
    </row>
    <row r="233" spans="1:15" x14ac:dyDescent="0.25">
      <c r="A233" t="s">
        <v>1974</v>
      </c>
      <c r="B233" t="s">
        <v>1975</v>
      </c>
      <c r="C233" t="s">
        <v>1976</v>
      </c>
      <c r="D233" t="s">
        <v>1977</v>
      </c>
      <c r="E233" t="s">
        <v>1961</v>
      </c>
      <c r="F233" t="s">
        <v>1962</v>
      </c>
      <c r="G233" t="s">
        <v>625</v>
      </c>
      <c r="H233" t="s">
        <v>626</v>
      </c>
      <c r="I233" t="s">
        <v>163</v>
      </c>
      <c r="J233" t="s">
        <v>164</v>
      </c>
      <c r="K233" t="s">
        <v>1766</v>
      </c>
      <c r="L233" t="s">
        <v>1767</v>
      </c>
      <c r="M233" t="s">
        <v>109</v>
      </c>
      <c r="N233" t="s">
        <v>110</v>
      </c>
      <c r="O233" t="s">
        <v>1978</v>
      </c>
    </row>
    <row r="234" spans="1:15" x14ac:dyDescent="0.25">
      <c r="A234" t="s">
        <v>1979</v>
      </c>
      <c r="B234" t="s">
        <v>1980</v>
      </c>
      <c r="C234" t="s">
        <v>1981</v>
      </c>
      <c r="D234" t="s">
        <v>1982</v>
      </c>
      <c r="E234" t="s">
        <v>1878</v>
      </c>
      <c r="F234" t="s">
        <v>1879</v>
      </c>
      <c r="G234" t="s">
        <v>1880</v>
      </c>
      <c r="H234" t="s">
        <v>1881</v>
      </c>
      <c r="I234" t="s">
        <v>36</v>
      </c>
      <c r="J234" t="s">
        <v>37</v>
      </c>
      <c r="K234" t="s">
        <v>1766</v>
      </c>
      <c r="L234" t="s">
        <v>1767</v>
      </c>
      <c r="M234" t="s">
        <v>1983</v>
      </c>
      <c r="N234" t="s">
        <v>1984</v>
      </c>
      <c r="O234" t="s">
        <v>1985</v>
      </c>
    </row>
    <row r="235" spans="1:15" x14ac:dyDescent="0.25">
      <c r="A235" t="s">
        <v>1986</v>
      </c>
      <c r="B235" t="s">
        <v>1987</v>
      </c>
      <c r="C235" t="s">
        <v>1988</v>
      </c>
      <c r="D235" t="s">
        <v>1989</v>
      </c>
      <c r="E235" t="s">
        <v>1990</v>
      </c>
      <c r="F235" t="s">
        <v>1991</v>
      </c>
      <c r="G235" t="s">
        <v>250</v>
      </c>
      <c r="H235" t="s">
        <v>251</v>
      </c>
      <c r="I235" t="s">
        <v>252</v>
      </c>
      <c r="J235" t="s">
        <v>253</v>
      </c>
      <c r="K235" t="s">
        <v>1766</v>
      </c>
      <c r="L235" t="s">
        <v>1767</v>
      </c>
      <c r="M235" t="s">
        <v>127</v>
      </c>
      <c r="N235" t="s">
        <v>128</v>
      </c>
      <c r="O235" t="s">
        <v>1992</v>
      </c>
    </row>
    <row r="236" spans="1:15" x14ac:dyDescent="0.25">
      <c r="A236" t="s">
        <v>1993</v>
      </c>
      <c r="B236" t="s">
        <v>1994</v>
      </c>
      <c r="C236" t="s">
        <v>1995</v>
      </c>
      <c r="D236" t="s">
        <v>1996</v>
      </c>
      <c r="E236" t="s">
        <v>1997</v>
      </c>
      <c r="F236" t="s">
        <v>1995</v>
      </c>
      <c r="G236" t="s">
        <v>1998</v>
      </c>
      <c r="H236" t="s">
        <v>1999</v>
      </c>
      <c r="I236" t="s">
        <v>2000</v>
      </c>
      <c r="J236" t="s">
        <v>2001</v>
      </c>
      <c r="K236" t="s">
        <v>1766</v>
      </c>
      <c r="L236" t="s">
        <v>1767</v>
      </c>
      <c r="M236" t="s">
        <v>2002</v>
      </c>
      <c r="N236" t="s">
        <v>2003</v>
      </c>
      <c r="O236" t="s">
        <v>2004</v>
      </c>
    </row>
    <row r="237" spans="1:15" x14ac:dyDescent="0.25">
      <c r="A237" t="s">
        <v>2005</v>
      </c>
      <c r="B237" t="s">
        <v>2006</v>
      </c>
      <c r="C237" t="s">
        <v>2007</v>
      </c>
      <c r="D237" t="s">
        <v>2008</v>
      </c>
      <c r="E237" t="s">
        <v>2009</v>
      </c>
      <c r="F237" t="s">
        <v>2007</v>
      </c>
      <c r="G237" t="s">
        <v>371</v>
      </c>
      <c r="H237" t="s">
        <v>372</v>
      </c>
      <c r="I237" t="s">
        <v>2010</v>
      </c>
      <c r="J237" t="s">
        <v>2011</v>
      </c>
      <c r="K237" t="s">
        <v>1766</v>
      </c>
      <c r="L237" t="s">
        <v>1767</v>
      </c>
      <c r="M237" t="s">
        <v>2012</v>
      </c>
      <c r="N237" t="s">
        <v>2013</v>
      </c>
      <c r="O237" t="s">
        <v>2014</v>
      </c>
    </row>
    <row r="238" spans="1:15" x14ac:dyDescent="0.25">
      <c r="A238" t="s">
        <v>2015</v>
      </c>
      <c r="B238" t="s">
        <v>2016</v>
      </c>
      <c r="C238" t="s">
        <v>2017</v>
      </c>
      <c r="D238" t="s">
        <v>2018</v>
      </c>
      <c r="E238" t="s">
        <v>2009</v>
      </c>
      <c r="F238" t="s">
        <v>2007</v>
      </c>
      <c r="G238" t="s">
        <v>371</v>
      </c>
      <c r="H238" t="s">
        <v>372</v>
      </c>
      <c r="I238" t="s">
        <v>1057</v>
      </c>
      <c r="J238" t="s">
        <v>1058</v>
      </c>
      <c r="K238" t="s">
        <v>1766</v>
      </c>
      <c r="L238" t="s">
        <v>1767</v>
      </c>
      <c r="M238" t="s">
        <v>2019</v>
      </c>
      <c r="N238" t="s">
        <v>2020</v>
      </c>
      <c r="O238" t="s">
        <v>2021</v>
      </c>
    </row>
    <row r="239" spans="1:15" x14ac:dyDescent="0.25">
      <c r="A239" t="s">
        <v>2022</v>
      </c>
      <c r="B239" t="s">
        <v>2023</v>
      </c>
      <c r="C239" t="s">
        <v>2024</v>
      </c>
      <c r="D239" t="s">
        <v>2025</v>
      </c>
      <c r="E239" t="s">
        <v>2026</v>
      </c>
      <c r="F239" t="s">
        <v>2027</v>
      </c>
      <c r="G239" t="s">
        <v>2028</v>
      </c>
      <c r="H239" t="s">
        <v>2029</v>
      </c>
      <c r="I239" t="s">
        <v>2030</v>
      </c>
      <c r="J239" t="s">
        <v>2031</v>
      </c>
      <c r="K239" t="s">
        <v>2032</v>
      </c>
      <c r="L239" t="s">
        <v>2033</v>
      </c>
      <c r="M239" t="s">
        <v>486</v>
      </c>
      <c r="N239" t="s">
        <v>487</v>
      </c>
      <c r="O239" t="s">
        <v>2034</v>
      </c>
    </row>
    <row r="240" spans="1:15" x14ac:dyDescent="0.25">
      <c r="A240" t="s">
        <v>2035</v>
      </c>
      <c r="B240" t="s">
        <v>2036</v>
      </c>
      <c r="C240" t="s">
        <v>2037</v>
      </c>
      <c r="D240" t="s">
        <v>2038</v>
      </c>
      <c r="E240" t="s">
        <v>2026</v>
      </c>
      <c r="F240" t="s">
        <v>2027</v>
      </c>
      <c r="G240" t="s">
        <v>2039</v>
      </c>
      <c r="H240" t="s">
        <v>2040</v>
      </c>
      <c r="I240" t="s">
        <v>719</v>
      </c>
      <c r="J240" t="s">
        <v>720</v>
      </c>
      <c r="K240" t="s">
        <v>2032</v>
      </c>
      <c r="L240" t="s">
        <v>2033</v>
      </c>
      <c r="M240" t="s">
        <v>486</v>
      </c>
      <c r="N240" t="s">
        <v>487</v>
      </c>
      <c r="O240" t="s">
        <v>2041</v>
      </c>
    </row>
    <row r="241" spans="1:15" x14ac:dyDescent="0.25">
      <c r="A241" t="s">
        <v>2042</v>
      </c>
      <c r="B241" t="s">
        <v>2043</v>
      </c>
      <c r="C241" t="s">
        <v>2044</v>
      </c>
      <c r="D241" t="s">
        <v>2045</v>
      </c>
      <c r="E241" t="s">
        <v>2046</v>
      </c>
      <c r="F241" t="s">
        <v>2047</v>
      </c>
      <c r="G241" t="s">
        <v>2048</v>
      </c>
      <c r="H241" t="s">
        <v>2049</v>
      </c>
      <c r="I241" t="s">
        <v>719</v>
      </c>
      <c r="J241" t="s">
        <v>720</v>
      </c>
      <c r="K241" t="s">
        <v>2050</v>
      </c>
      <c r="L241" t="s">
        <v>2051</v>
      </c>
      <c r="M241" t="s">
        <v>486</v>
      </c>
      <c r="N241" t="s">
        <v>487</v>
      </c>
      <c r="O241" t="s">
        <v>2052</v>
      </c>
    </row>
    <row r="242" spans="1:15" x14ac:dyDescent="0.25">
      <c r="A242" t="s">
        <v>2053</v>
      </c>
      <c r="B242" t="s">
        <v>2054</v>
      </c>
      <c r="C242" t="s">
        <v>2055</v>
      </c>
      <c r="D242" t="s">
        <v>2056</v>
      </c>
      <c r="E242" t="s">
        <v>2057</v>
      </c>
      <c r="F242" t="s">
        <v>2058</v>
      </c>
      <c r="G242" t="s">
        <v>480</v>
      </c>
      <c r="H242" t="s">
        <v>481</v>
      </c>
      <c r="I242" t="s">
        <v>2030</v>
      </c>
      <c r="J242" t="s">
        <v>2031</v>
      </c>
      <c r="K242" t="s">
        <v>323</v>
      </c>
      <c r="L242" t="s">
        <v>324</v>
      </c>
      <c r="M242" t="s">
        <v>486</v>
      </c>
      <c r="N242" t="s">
        <v>487</v>
      </c>
      <c r="O242" t="s">
        <v>2059</v>
      </c>
    </row>
    <row r="243" spans="1:15" x14ac:dyDescent="0.25">
      <c r="A243" t="s">
        <v>2060</v>
      </c>
      <c r="B243" t="s">
        <v>2061</v>
      </c>
      <c r="C243" t="s">
        <v>2062</v>
      </c>
      <c r="D243" t="s">
        <v>2063</v>
      </c>
      <c r="E243" t="s">
        <v>2057</v>
      </c>
      <c r="F243" t="s">
        <v>2058</v>
      </c>
      <c r="G243" t="s">
        <v>480</v>
      </c>
      <c r="H243" t="s">
        <v>481</v>
      </c>
      <c r="I243" t="s">
        <v>719</v>
      </c>
      <c r="J243" t="s">
        <v>720</v>
      </c>
      <c r="K243" t="s">
        <v>323</v>
      </c>
      <c r="L243" t="s">
        <v>324</v>
      </c>
      <c r="M243" t="s">
        <v>486</v>
      </c>
      <c r="N243" t="s">
        <v>487</v>
      </c>
      <c r="O243" t="s">
        <v>2064</v>
      </c>
    </row>
    <row r="244" spans="1:15" x14ac:dyDescent="0.25">
      <c r="A244" t="s">
        <v>2065</v>
      </c>
      <c r="B244" t="s">
        <v>2066</v>
      </c>
      <c r="C244" t="s">
        <v>2067</v>
      </c>
      <c r="D244" t="s">
        <v>2068</v>
      </c>
      <c r="E244" t="s">
        <v>2069</v>
      </c>
      <c r="F244" t="s">
        <v>2070</v>
      </c>
      <c r="G244" t="s">
        <v>480</v>
      </c>
      <c r="H244" t="s">
        <v>481</v>
      </c>
      <c r="I244" t="s">
        <v>2030</v>
      </c>
      <c r="J244" t="s">
        <v>2031</v>
      </c>
      <c r="K244" t="s">
        <v>484</v>
      </c>
      <c r="L244" t="s">
        <v>485</v>
      </c>
      <c r="M244" t="s">
        <v>486</v>
      </c>
      <c r="N244" t="s">
        <v>487</v>
      </c>
      <c r="O244" t="s">
        <v>2071</v>
      </c>
    </row>
    <row r="245" spans="1:15" x14ac:dyDescent="0.25">
      <c r="A245" t="s">
        <v>2072</v>
      </c>
      <c r="B245" t="s">
        <v>2073</v>
      </c>
      <c r="C245" t="s">
        <v>2074</v>
      </c>
      <c r="D245" t="s">
        <v>2075</v>
      </c>
      <c r="E245" t="s">
        <v>2069</v>
      </c>
      <c r="F245" t="s">
        <v>2070</v>
      </c>
      <c r="G245" t="s">
        <v>480</v>
      </c>
      <c r="H245" t="s">
        <v>481</v>
      </c>
      <c r="I245" t="s">
        <v>719</v>
      </c>
      <c r="J245" t="s">
        <v>720</v>
      </c>
      <c r="K245" t="s">
        <v>484</v>
      </c>
      <c r="L245" t="s">
        <v>485</v>
      </c>
      <c r="M245" t="s">
        <v>486</v>
      </c>
      <c r="N245" t="s">
        <v>487</v>
      </c>
      <c r="O245" t="s">
        <v>2076</v>
      </c>
    </row>
    <row r="246" spans="1:15" x14ac:dyDescent="0.25">
      <c r="A246" t="s">
        <v>2077</v>
      </c>
      <c r="B246" t="s">
        <v>2078</v>
      </c>
      <c r="C246" t="s">
        <v>2079</v>
      </c>
      <c r="D246" t="s">
        <v>2080</v>
      </c>
      <c r="E246" t="s">
        <v>2081</v>
      </c>
      <c r="F246" t="s">
        <v>2082</v>
      </c>
      <c r="G246" t="s">
        <v>480</v>
      </c>
      <c r="H246" t="s">
        <v>481</v>
      </c>
      <c r="I246" t="s">
        <v>2030</v>
      </c>
      <c r="J246" t="s">
        <v>2031</v>
      </c>
      <c r="K246" t="s">
        <v>484</v>
      </c>
      <c r="L246" t="s">
        <v>485</v>
      </c>
      <c r="M246" t="s">
        <v>486</v>
      </c>
      <c r="N246" t="s">
        <v>487</v>
      </c>
      <c r="O246" t="s">
        <v>2083</v>
      </c>
    </row>
    <row r="247" spans="1:15" x14ac:dyDescent="0.25">
      <c r="A247" t="s">
        <v>2084</v>
      </c>
      <c r="B247" t="s">
        <v>2085</v>
      </c>
      <c r="C247" t="s">
        <v>2086</v>
      </c>
      <c r="D247" t="s">
        <v>2087</v>
      </c>
      <c r="E247" t="s">
        <v>2081</v>
      </c>
      <c r="F247" t="s">
        <v>2082</v>
      </c>
      <c r="G247" t="s">
        <v>480</v>
      </c>
      <c r="H247" t="s">
        <v>481</v>
      </c>
      <c r="I247" t="s">
        <v>719</v>
      </c>
      <c r="J247" t="s">
        <v>720</v>
      </c>
      <c r="K247" t="s">
        <v>484</v>
      </c>
      <c r="L247" t="s">
        <v>485</v>
      </c>
      <c r="M247" t="s">
        <v>486</v>
      </c>
      <c r="N247" t="s">
        <v>487</v>
      </c>
      <c r="O247" t="s">
        <v>2088</v>
      </c>
    </row>
    <row r="248" spans="1:15" x14ac:dyDescent="0.25">
      <c r="A248" t="s">
        <v>2089</v>
      </c>
      <c r="B248" t="s">
        <v>2090</v>
      </c>
      <c r="C248" t="s">
        <v>2091</v>
      </c>
      <c r="D248" t="s">
        <v>2092</v>
      </c>
      <c r="E248" t="s">
        <v>2093</v>
      </c>
      <c r="F248" t="s">
        <v>2094</v>
      </c>
      <c r="G248" t="s">
        <v>480</v>
      </c>
      <c r="H248" t="s">
        <v>481</v>
      </c>
      <c r="I248" t="s">
        <v>2030</v>
      </c>
      <c r="J248" t="s">
        <v>2031</v>
      </c>
      <c r="K248" t="s">
        <v>484</v>
      </c>
      <c r="L248" t="s">
        <v>485</v>
      </c>
      <c r="M248" t="s">
        <v>486</v>
      </c>
      <c r="N248" t="s">
        <v>487</v>
      </c>
      <c r="O248" t="s">
        <v>2095</v>
      </c>
    </row>
    <row r="249" spans="1:15" x14ac:dyDescent="0.25">
      <c r="A249" t="s">
        <v>2096</v>
      </c>
      <c r="B249" t="s">
        <v>2097</v>
      </c>
      <c r="C249" t="s">
        <v>2098</v>
      </c>
      <c r="D249" t="s">
        <v>2099</v>
      </c>
      <c r="E249" t="s">
        <v>2093</v>
      </c>
      <c r="F249" t="s">
        <v>2094</v>
      </c>
      <c r="G249" t="s">
        <v>480</v>
      </c>
      <c r="H249" t="s">
        <v>481</v>
      </c>
      <c r="I249" t="s">
        <v>719</v>
      </c>
      <c r="J249" t="s">
        <v>720</v>
      </c>
      <c r="K249" t="s">
        <v>484</v>
      </c>
      <c r="L249" t="s">
        <v>485</v>
      </c>
      <c r="M249" t="s">
        <v>486</v>
      </c>
      <c r="N249" t="s">
        <v>487</v>
      </c>
      <c r="O249" t="s">
        <v>2100</v>
      </c>
    </row>
    <row r="250" spans="1:15" x14ac:dyDescent="0.25">
      <c r="A250" t="s">
        <v>2101</v>
      </c>
      <c r="B250" t="s">
        <v>2102</v>
      </c>
      <c r="C250" t="s">
        <v>2103</v>
      </c>
      <c r="D250" t="s">
        <v>2104</v>
      </c>
      <c r="E250" t="s">
        <v>2105</v>
      </c>
      <c r="F250" t="s">
        <v>2106</v>
      </c>
      <c r="G250" t="s">
        <v>480</v>
      </c>
      <c r="H250" t="s">
        <v>481</v>
      </c>
      <c r="I250" t="s">
        <v>2030</v>
      </c>
      <c r="J250" t="s">
        <v>2031</v>
      </c>
      <c r="K250" t="s">
        <v>484</v>
      </c>
      <c r="L250" t="s">
        <v>485</v>
      </c>
      <c r="M250" t="s">
        <v>486</v>
      </c>
      <c r="N250" t="s">
        <v>487</v>
      </c>
      <c r="O250" t="s">
        <v>2107</v>
      </c>
    </row>
    <row r="251" spans="1:15" x14ac:dyDescent="0.25">
      <c r="A251" t="s">
        <v>2108</v>
      </c>
      <c r="B251" t="s">
        <v>2109</v>
      </c>
      <c r="C251" t="s">
        <v>2110</v>
      </c>
      <c r="D251" t="s">
        <v>2111</v>
      </c>
      <c r="E251" t="s">
        <v>2105</v>
      </c>
      <c r="F251" t="s">
        <v>2106</v>
      </c>
      <c r="G251" t="s">
        <v>480</v>
      </c>
      <c r="H251" t="s">
        <v>481</v>
      </c>
      <c r="I251" t="s">
        <v>719</v>
      </c>
      <c r="J251" t="s">
        <v>720</v>
      </c>
      <c r="K251" t="s">
        <v>484</v>
      </c>
      <c r="L251" t="s">
        <v>485</v>
      </c>
      <c r="M251" t="s">
        <v>486</v>
      </c>
      <c r="N251" t="s">
        <v>487</v>
      </c>
      <c r="O251" t="s">
        <v>2112</v>
      </c>
    </row>
    <row r="252" spans="1:15" x14ac:dyDescent="0.25">
      <c r="A252" t="s">
        <v>2113</v>
      </c>
      <c r="B252" t="s">
        <v>2114</v>
      </c>
      <c r="C252" t="s">
        <v>2115</v>
      </c>
      <c r="D252" t="s">
        <v>2116</v>
      </c>
      <c r="E252" t="s">
        <v>2117</v>
      </c>
      <c r="F252" t="s">
        <v>2118</v>
      </c>
      <c r="G252" t="s">
        <v>480</v>
      </c>
      <c r="H252" t="s">
        <v>481</v>
      </c>
      <c r="I252" t="s">
        <v>2030</v>
      </c>
      <c r="J252" t="s">
        <v>2031</v>
      </c>
      <c r="K252" t="s">
        <v>484</v>
      </c>
      <c r="L252" t="s">
        <v>485</v>
      </c>
      <c r="M252" t="s">
        <v>486</v>
      </c>
      <c r="N252" t="s">
        <v>487</v>
      </c>
      <c r="O252" t="s">
        <v>2119</v>
      </c>
    </row>
    <row r="253" spans="1:15" x14ac:dyDescent="0.25">
      <c r="A253" t="s">
        <v>2120</v>
      </c>
      <c r="B253" t="s">
        <v>2121</v>
      </c>
      <c r="C253" t="s">
        <v>2122</v>
      </c>
      <c r="D253" t="s">
        <v>2123</v>
      </c>
      <c r="E253" t="s">
        <v>2117</v>
      </c>
      <c r="F253" t="s">
        <v>2118</v>
      </c>
      <c r="G253" t="s">
        <v>480</v>
      </c>
      <c r="H253" t="s">
        <v>481</v>
      </c>
      <c r="I253" t="s">
        <v>719</v>
      </c>
      <c r="J253" t="s">
        <v>720</v>
      </c>
      <c r="K253" t="s">
        <v>484</v>
      </c>
      <c r="L253" t="s">
        <v>485</v>
      </c>
      <c r="M253" t="s">
        <v>486</v>
      </c>
      <c r="N253" t="s">
        <v>487</v>
      </c>
      <c r="O253" t="s">
        <v>2124</v>
      </c>
    </row>
    <row r="254" spans="1:15" x14ac:dyDescent="0.25">
      <c r="A254" t="s">
        <v>2125</v>
      </c>
      <c r="B254" t="s">
        <v>2126</v>
      </c>
      <c r="C254" t="s">
        <v>2127</v>
      </c>
      <c r="D254" t="s">
        <v>2128</v>
      </c>
      <c r="E254" t="s">
        <v>2129</v>
      </c>
      <c r="F254" t="s">
        <v>2130</v>
      </c>
      <c r="G254" t="s">
        <v>480</v>
      </c>
      <c r="H254" t="s">
        <v>481</v>
      </c>
      <c r="I254" t="s">
        <v>2030</v>
      </c>
      <c r="J254" t="s">
        <v>2031</v>
      </c>
      <c r="K254" t="s">
        <v>761</v>
      </c>
      <c r="L254" t="s">
        <v>762</v>
      </c>
      <c r="M254" t="s">
        <v>486</v>
      </c>
      <c r="N254" t="s">
        <v>487</v>
      </c>
      <c r="O254" t="s">
        <v>2131</v>
      </c>
    </row>
    <row r="255" spans="1:15" x14ac:dyDescent="0.25">
      <c r="A255" t="s">
        <v>2132</v>
      </c>
      <c r="B255" t="s">
        <v>2133</v>
      </c>
      <c r="C255" t="s">
        <v>2134</v>
      </c>
      <c r="D255" t="s">
        <v>2135</v>
      </c>
      <c r="E255" t="s">
        <v>2129</v>
      </c>
      <c r="F255" t="s">
        <v>2130</v>
      </c>
      <c r="G255" t="s">
        <v>480</v>
      </c>
      <c r="H255" t="s">
        <v>481</v>
      </c>
      <c r="I255" t="s">
        <v>719</v>
      </c>
      <c r="J255" t="s">
        <v>720</v>
      </c>
      <c r="K255" t="s">
        <v>761</v>
      </c>
      <c r="L255" t="s">
        <v>762</v>
      </c>
      <c r="M255" t="s">
        <v>486</v>
      </c>
      <c r="N255" t="s">
        <v>487</v>
      </c>
      <c r="O255" t="s">
        <v>2136</v>
      </c>
    </row>
    <row r="256" spans="1:15" x14ac:dyDescent="0.25">
      <c r="A256" t="s">
        <v>2137</v>
      </c>
      <c r="B256" t="s">
        <v>2138</v>
      </c>
      <c r="C256" t="s">
        <v>2139</v>
      </c>
      <c r="D256" t="s">
        <v>2140</v>
      </c>
      <c r="E256" t="s">
        <v>2141</v>
      </c>
      <c r="F256" t="s">
        <v>2139</v>
      </c>
      <c r="G256" t="s">
        <v>2142</v>
      </c>
      <c r="H256" t="s">
        <v>2143</v>
      </c>
      <c r="I256" t="s">
        <v>2030</v>
      </c>
      <c r="J256" t="s">
        <v>2031</v>
      </c>
      <c r="K256" t="s">
        <v>353</v>
      </c>
      <c r="L256" t="s">
        <v>354</v>
      </c>
      <c r="M256" t="s">
        <v>486</v>
      </c>
      <c r="N256" t="s">
        <v>487</v>
      </c>
      <c r="O256" t="s">
        <v>2144</v>
      </c>
    </row>
    <row r="257" spans="1:15" x14ac:dyDescent="0.25">
      <c r="A257" t="s">
        <v>2145</v>
      </c>
      <c r="B257" t="s">
        <v>2146</v>
      </c>
      <c r="C257" t="s">
        <v>2147</v>
      </c>
      <c r="D257" t="s">
        <v>2148</v>
      </c>
      <c r="E257" t="s">
        <v>2149</v>
      </c>
      <c r="F257" t="s">
        <v>2150</v>
      </c>
      <c r="G257" t="s">
        <v>2151</v>
      </c>
      <c r="H257" t="s">
        <v>2147</v>
      </c>
      <c r="I257" t="s">
        <v>2030</v>
      </c>
      <c r="J257" t="s">
        <v>2031</v>
      </c>
      <c r="K257" t="s">
        <v>2032</v>
      </c>
      <c r="L257" t="s">
        <v>2033</v>
      </c>
      <c r="M257" t="s">
        <v>486</v>
      </c>
      <c r="N257" t="s">
        <v>487</v>
      </c>
      <c r="O257" t="s">
        <v>2152</v>
      </c>
    </row>
    <row r="258" spans="1:15" x14ac:dyDescent="0.25">
      <c r="A258" t="s">
        <v>2153</v>
      </c>
      <c r="B258" t="s">
        <v>2154</v>
      </c>
      <c r="C258" t="s">
        <v>2150</v>
      </c>
      <c r="D258" t="s">
        <v>2155</v>
      </c>
      <c r="E258" t="s">
        <v>2149</v>
      </c>
      <c r="F258" t="s">
        <v>2150</v>
      </c>
      <c r="G258" t="s">
        <v>2156</v>
      </c>
      <c r="H258" t="s">
        <v>2150</v>
      </c>
      <c r="I258" t="s">
        <v>719</v>
      </c>
      <c r="J258" t="s">
        <v>720</v>
      </c>
      <c r="K258" t="s">
        <v>2032</v>
      </c>
      <c r="L258" t="s">
        <v>2033</v>
      </c>
      <c r="M258" t="s">
        <v>486</v>
      </c>
      <c r="N258" t="s">
        <v>487</v>
      </c>
      <c r="O258" t="s">
        <v>2157</v>
      </c>
    </row>
    <row r="259" spans="1:15" x14ac:dyDescent="0.25">
      <c r="A259" t="s">
        <v>2158</v>
      </c>
      <c r="B259" t="s">
        <v>2159</v>
      </c>
      <c r="C259" t="s">
        <v>2160</v>
      </c>
      <c r="D259" t="s">
        <v>2161</v>
      </c>
      <c r="E259" t="s">
        <v>2162</v>
      </c>
      <c r="F259" t="s">
        <v>2163</v>
      </c>
      <c r="G259" t="s">
        <v>480</v>
      </c>
      <c r="H259" t="s">
        <v>481</v>
      </c>
      <c r="I259" t="s">
        <v>2030</v>
      </c>
      <c r="J259" t="s">
        <v>2031</v>
      </c>
      <c r="K259" t="s">
        <v>761</v>
      </c>
      <c r="L259" t="s">
        <v>762</v>
      </c>
      <c r="M259" t="s">
        <v>486</v>
      </c>
      <c r="N259" t="s">
        <v>487</v>
      </c>
      <c r="O259" t="s">
        <v>2164</v>
      </c>
    </row>
    <row r="260" spans="1:15" x14ac:dyDescent="0.25">
      <c r="A260" t="s">
        <v>2165</v>
      </c>
      <c r="B260" t="s">
        <v>2166</v>
      </c>
      <c r="C260" t="s">
        <v>2167</v>
      </c>
      <c r="D260" t="s">
        <v>2168</v>
      </c>
      <c r="E260" t="s">
        <v>2169</v>
      </c>
      <c r="F260" t="s">
        <v>2170</v>
      </c>
      <c r="G260" t="s">
        <v>480</v>
      </c>
      <c r="H260" t="s">
        <v>481</v>
      </c>
      <c r="I260" t="s">
        <v>719</v>
      </c>
      <c r="J260" t="s">
        <v>720</v>
      </c>
      <c r="K260" t="s">
        <v>761</v>
      </c>
      <c r="L260" t="s">
        <v>762</v>
      </c>
      <c r="M260" t="s">
        <v>486</v>
      </c>
      <c r="N260" t="s">
        <v>487</v>
      </c>
      <c r="O260" t="s">
        <v>2171</v>
      </c>
    </row>
    <row r="261" spans="1:15" x14ac:dyDescent="0.25">
      <c r="A261" t="s">
        <v>2172</v>
      </c>
      <c r="B261" t="s">
        <v>2173</v>
      </c>
      <c r="C261" t="s">
        <v>2174</v>
      </c>
      <c r="D261" t="s">
        <v>2175</v>
      </c>
      <c r="E261" t="s">
        <v>2176</v>
      </c>
      <c r="F261" t="s">
        <v>2177</v>
      </c>
      <c r="G261" t="s">
        <v>480</v>
      </c>
      <c r="H261" t="s">
        <v>481</v>
      </c>
      <c r="I261" t="s">
        <v>2030</v>
      </c>
      <c r="J261" t="s">
        <v>2031</v>
      </c>
      <c r="K261" t="s">
        <v>2178</v>
      </c>
      <c r="L261" t="s">
        <v>2179</v>
      </c>
      <c r="M261" t="s">
        <v>486</v>
      </c>
      <c r="N261" t="s">
        <v>487</v>
      </c>
      <c r="O261" t="s">
        <v>2180</v>
      </c>
    </row>
    <row r="262" spans="1:15" x14ac:dyDescent="0.25">
      <c r="A262" t="s">
        <v>2181</v>
      </c>
      <c r="B262" t="s">
        <v>2182</v>
      </c>
      <c r="C262" t="s">
        <v>2183</v>
      </c>
      <c r="D262" t="s">
        <v>2184</v>
      </c>
      <c r="E262" t="s">
        <v>2176</v>
      </c>
      <c r="F262" t="s">
        <v>2177</v>
      </c>
      <c r="G262" t="s">
        <v>480</v>
      </c>
      <c r="H262" t="s">
        <v>481</v>
      </c>
      <c r="I262" t="s">
        <v>719</v>
      </c>
      <c r="J262" t="s">
        <v>720</v>
      </c>
      <c r="K262" t="s">
        <v>2178</v>
      </c>
      <c r="L262" t="s">
        <v>2179</v>
      </c>
      <c r="M262" t="s">
        <v>486</v>
      </c>
      <c r="N262" t="s">
        <v>487</v>
      </c>
      <c r="O262" t="s">
        <v>2185</v>
      </c>
    </row>
    <row r="263" spans="1:15" x14ac:dyDescent="0.25">
      <c r="A263" t="s">
        <v>2186</v>
      </c>
      <c r="B263" t="s">
        <v>2187</v>
      </c>
      <c r="C263" t="s">
        <v>2188</v>
      </c>
      <c r="D263" t="s">
        <v>2189</v>
      </c>
      <c r="E263" t="s">
        <v>2190</v>
      </c>
      <c r="F263" t="s">
        <v>2191</v>
      </c>
      <c r="G263" t="s">
        <v>480</v>
      </c>
      <c r="H263" t="s">
        <v>481</v>
      </c>
      <c r="I263" t="s">
        <v>2030</v>
      </c>
      <c r="J263" t="s">
        <v>2031</v>
      </c>
      <c r="K263" t="s">
        <v>2192</v>
      </c>
      <c r="L263" t="s">
        <v>2193</v>
      </c>
      <c r="M263" t="s">
        <v>486</v>
      </c>
      <c r="N263" t="s">
        <v>487</v>
      </c>
      <c r="O263" t="s">
        <v>2194</v>
      </c>
    </row>
    <row r="264" spans="1:15" x14ac:dyDescent="0.25">
      <c r="A264" t="s">
        <v>2195</v>
      </c>
      <c r="B264" t="s">
        <v>2196</v>
      </c>
      <c r="C264" t="s">
        <v>2197</v>
      </c>
      <c r="D264" t="s">
        <v>2198</v>
      </c>
      <c r="E264" t="s">
        <v>2190</v>
      </c>
      <c r="F264" t="s">
        <v>2191</v>
      </c>
      <c r="G264" t="s">
        <v>480</v>
      </c>
      <c r="H264" t="s">
        <v>481</v>
      </c>
      <c r="I264" t="s">
        <v>719</v>
      </c>
      <c r="J264" t="s">
        <v>720</v>
      </c>
      <c r="K264" t="s">
        <v>2192</v>
      </c>
      <c r="L264" t="s">
        <v>2193</v>
      </c>
      <c r="M264" t="s">
        <v>486</v>
      </c>
      <c r="N264" t="s">
        <v>487</v>
      </c>
      <c r="O264" t="s">
        <v>2199</v>
      </c>
    </row>
    <row r="265" spans="1:15" x14ac:dyDescent="0.25">
      <c r="A265" t="s">
        <v>2200</v>
      </c>
      <c r="B265" t="s">
        <v>2201</v>
      </c>
      <c r="C265" t="s">
        <v>2202</v>
      </c>
      <c r="D265" t="s">
        <v>2203</v>
      </c>
      <c r="E265" t="s">
        <v>2204</v>
      </c>
      <c r="F265" t="s">
        <v>2205</v>
      </c>
      <c r="G265" t="s">
        <v>480</v>
      </c>
      <c r="H265" t="s">
        <v>481</v>
      </c>
      <c r="I265" t="s">
        <v>2030</v>
      </c>
      <c r="J265" t="s">
        <v>2031</v>
      </c>
      <c r="K265" t="s">
        <v>2206</v>
      </c>
      <c r="L265" t="s">
        <v>2207</v>
      </c>
      <c r="M265" t="s">
        <v>486</v>
      </c>
      <c r="N265" t="s">
        <v>487</v>
      </c>
      <c r="O265" t="s">
        <v>2208</v>
      </c>
    </row>
    <row r="266" spans="1:15" x14ac:dyDescent="0.25">
      <c r="A266" t="s">
        <v>2209</v>
      </c>
      <c r="B266" t="s">
        <v>2210</v>
      </c>
      <c r="C266" t="s">
        <v>2211</v>
      </c>
      <c r="D266" t="s">
        <v>2212</v>
      </c>
      <c r="E266" t="s">
        <v>2204</v>
      </c>
      <c r="F266" t="s">
        <v>2205</v>
      </c>
      <c r="G266" t="s">
        <v>480</v>
      </c>
      <c r="H266" t="s">
        <v>481</v>
      </c>
      <c r="I266" t="s">
        <v>719</v>
      </c>
      <c r="J266" t="s">
        <v>720</v>
      </c>
      <c r="K266" t="s">
        <v>2206</v>
      </c>
      <c r="L266" t="s">
        <v>2207</v>
      </c>
      <c r="M266" t="s">
        <v>486</v>
      </c>
      <c r="N266" t="s">
        <v>487</v>
      </c>
      <c r="O266" t="s">
        <v>2213</v>
      </c>
    </row>
    <row r="267" spans="1:15" x14ac:dyDescent="0.25">
      <c r="A267" t="s">
        <v>2214</v>
      </c>
      <c r="B267" t="s">
        <v>2215</v>
      </c>
      <c r="C267" t="s">
        <v>2216</v>
      </c>
      <c r="D267" t="s">
        <v>2217</v>
      </c>
      <c r="E267" t="s">
        <v>2218</v>
      </c>
      <c r="F267" t="s">
        <v>2219</v>
      </c>
      <c r="G267" t="s">
        <v>2220</v>
      </c>
      <c r="H267" t="s">
        <v>2221</v>
      </c>
      <c r="I267" t="s">
        <v>2222</v>
      </c>
      <c r="J267" t="s">
        <v>2223</v>
      </c>
      <c r="K267" t="s">
        <v>353</v>
      </c>
      <c r="L267" t="s">
        <v>354</v>
      </c>
      <c r="M267" t="s">
        <v>2224</v>
      </c>
      <c r="N267" t="s">
        <v>2225</v>
      </c>
      <c r="O267" t="s">
        <v>2226</v>
      </c>
    </row>
    <row r="268" spans="1:15" x14ac:dyDescent="0.25">
      <c r="A268" t="s">
        <v>2227</v>
      </c>
      <c r="B268" t="s">
        <v>2228</v>
      </c>
      <c r="C268" t="s">
        <v>2229</v>
      </c>
      <c r="D268" t="s">
        <v>2230</v>
      </c>
      <c r="E268" t="s">
        <v>2231</v>
      </c>
      <c r="F268" t="s">
        <v>2232</v>
      </c>
      <c r="G268" t="s">
        <v>2233</v>
      </c>
      <c r="H268" t="s">
        <v>2232</v>
      </c>
      <c r="I268" t="s">
        <v>2222</v>
      </c>
      <c r="J268" t="s">
        <v>2223</v>
      </c>
      <c r="K268" t="s">
        <v>776</v>
      </c>
      <c r="L268" t="s">
        <v>777</v>
      </c>
      <c r="M268" t="s">
        <v>2234</v>
      </c>
      <c r="N268" t="s">
        <v>2235</v>
      </c>
      <c r="O268" t="s">
        <v>2236</v>
      </c>
    </row>
    <row r="269" spans="1:15" x14ac:dyDescent="0.25">
      <c r="A269" t="s">
        <v>2237</v>
      </c>
      <c r="B269" t="s">
        <v>2238</v>
      </c>
      <c r="C269" t="s">
        <v>2239</v>
      </c>
      <c r="D269" t="s">
        <v>2240</v>
      </c>
      <c r="E269" t="s">
        <v>2231</v>
      </c>
      <c r="F269" t="s">
        <v>2232</v>
      </c>
      <c r="G269" t="s">
        <v>2233</v>
      </c>
      <c r="H269" t="s">
        <v>2232</v>
      </c>
      <c r="I269" t="s">
        <v>2222</v>
      </c>
      <c r="J269" t="s">
        <v>2223</v>
      </c>
      <c r="K269" t="s">
        <v>776</v>
      </c>
      <c r="L269" t="s">
        <v>777</v>
      </c>
      <c r="M269" t="s">
        <v>2241</v>
      </c>
      <c r="N269" t="s">
        <v>2242</v>
      </c>
      <c r="O269" t="s">
        <v>2243</v>
      </c>
    </row>
    <row r="270" spans="1:15" x14ac:dyDescent="0.25">
      <c r="A270" t="s">
        <v>2244</v>
      </c>
      <c r="B270" t="s">
        <v>2245</v>
      </c>
      <c r="C270" t="s">
        <v>2246</v>
      </c>
      <c r="D270" t="s">
        <v>2247</v>
      </c>
      <c r="E270" t="s">
        <v>2231</v>
      </c>
      <c r="F270" t="s">
        <v>2232</v>
      </c>
      <c r="G270" t="s">
        <v>2233</v>
      </c>
      <c r="H270" t="s">
        <v>2232</v>
      </c>
      <c r="I270" t="s">
        <v>2222</v>
      </c>
      <c r="J270" t="s">
        <v>2223</v>
      </c>
      <c r="K270" t="s">
        <v>776</v>
      </c>
      <c r="L270" t="s">
        <v>777</v>
      </c>
      <c r="M270" t="s">
        <v>2248</v>
      </c>
      <c r="N270" t="s">
        <v>2249</v>
      </c>
      <c r="O270" t="s">
        <v>2250</v>
      </c>
    </row>
    <row r="271" spans="1:15" x14ac:dyDescent="0.25">
      <c r="A271" t="s">
        <v>2251</v>
      </c>
      <c r="B271" t="s">
        <v>2252</v>
      </c>
      <c r="C271" t="s">
        <v>2253</v>
      </c>
      <c r="D271" t="s">
        <v>2254</v>
      </c>
      <c r="E271" t="s">
        <v>2255</v>
      </c>
      <c r="F271" t="s">
        <v>2256</v>
      </c>
      <c r="G271" t="s">
        <v>1795</v>
      </c>
      <c r="H271" t="s">
        <v>1796</v>
      </c>
      <c r="I271" t="s">
        <v>2222</v>
      </c>
      <c r="J271" t="s">
        <v>2223</v>
      </c>
      <c r="K271" t="s">
        <v>2257</v>
      </c>
      <c r="L271" t="s">
        <v>2258</v>
      </c>
      <c r="M271" t="s">
        <v>2259</v>
      </c>
      <c r="N271" t="s">
        <v>2260</v>
      </c>
      <c r="O271" t="s">
        <v>2261</v>
      </c>
    </row>
    <row r="272" spans="1:15" x14ac:dyDescent="0.25">
      <c r="A272" t="s">
        <v>2262</v>
      </c>
      <c r="B272" t="s">
        <v>2263</v>
      </c>
      <c r="C272" t="s">
        <v>2264</v>
      </c>
      <c r="D272" t="s">
        <v>2265</v>
      </c>
      <c r="E272" t="s">
        <v>2266</v>
      </c>
      <c r="F272" t="s">
        <v>2264</v>
      </c>
      <c r="G272" t="s">
        <v>312</v>
      </c>
      <c r="H272" t="s">
        <v>313</v>
      </c>
      <c r="I272" t="s">
        <v>80</v>
      </c>
      <c r="J272" t="s">
        <v>81</v>
      </c>
      <c r="K272" t="s">
        <v>38</v>
      </c>
      <c r="L272" t="s">
        <v>39</v>
      </c>
      <c r="M272" t="s">
        <v>82</v>
      </c>
      <c r="N272" t="s">
        <v>83</v>
      </c>
      <c r="O272" t="s">
        <v>2267</v>
      </c>
    </row>
    <row r="273" spans="1:15" x14ac:dyDescent="0.25">
      <c r="A273" t="s">
        <v>2268</v>
      </c>
      <c r="B273" t="s">
        <v>2269</v>
      </c>
      <c r="C273" t="s">
        <v>2270</v>
      </c>
      <c r="D273" t="s">
        <v>2271</v>
      </c>
      <c r="E273" t="s">
        <v>2272</v>
      </c>
      <c r="F273" t="s">
        <v>2270</v>
      </c>
      <c r="G273" t="s">
        <v>2273</v>
      </c>
      <c r="H273" t="s">
        <v>2274</v>
      </c>
      <c r="I273" t="s">
        <v>759</v>
      </c>
      <c r="J273" t="s">
        <v>760</v>
      </c>
      <c r="K273" t="s">
        <v>2275</v>
      </c>
      <c r="L273" t="s">
        <v>2276</v>
      </c>
      <c r="M273" t="s">
        <v>486</v>
      </c>
      <c r="N273" t="s">
        <v>487</v>
      </c>
      <c r="O273" t="s">
        <v>2277</v>
      </c>
    </row>
    <row r="274" spans="1:15" x14ac:dyDescent="0.25">
      <c r="A274" t="s">
        <v>2278</v>
      </c>
      <c r="B274" t="s">
        <v>2279</v>
      </c>
      <c r="C274" t="s">
        <v>2280</v>
      </c>
      <c r="D274" t="s">
        <v>2281</v>
      </c>
      <c r="E274" t="s">
        <v>2282</v>
      </c>
      <c r="F274" t="s">
        <v>2280</v>
      </c>
      <c r="G274" t="s">
        <v>441</v>
      </c>
      <c r="H274" t="s">
        <v>440</v>
      </c>
      <c r="I274" t="s">
        <v>80</v>
      </c>
      <c r="J274" t="s">
        <v>81</v>
      </c>
      <c r="K274" t="s">
        <v>484</v>
      </c>
      <c r="L274" t="s">
        <v>485</v>
      </c>
      <c r="M274" t="s">
        <v>82</v>
      </c>
      <c r="N274" t="s">
        <v>83</v>
      </c>
      <c r="O274" t="s">
        <v>2283</v>
      </c>
    </row>
    <row r="275" spans="1:15" x14ac:dyDescent="0.25">
      <c r="A275" t="s">
        <v>2284</v>
      </c>
      <c r="B275" t="s">
        <v>2285</v>
      </c>
      <c r="C275" t="s">
        <v>2286</v>
      </c>
      <c r="D275" t="s">
        <v>2287</v>
      </c>
      <c r="E275" t="s">
        <v>2288</v>
      </c>
      <c r="F275" t="s">
        <v>2286</v>
      </c>
      <c r="G275" t="s">
        <v>350</v>
      </c>
      <c r="H275" t="s">
        <v>349</v>
      </c>
      <c r="I275" t="s">
        <v>80</v>
      </c>
      <c r="J275" t="s">
        <v>81</v>
      </c>
      <c r="K275" t="s">
        <v>2032</v>
      </c>
      <c r="L275" t="s">
        <v>2033</v>
      </c>
      <c r="M275" t="s">
        <v>2289</v>
      </c>
      <c r="N275" t="s">
        <v>2290</v>
      </c>
      <c r="O275" t="s">
        <v>2291</v>
      </c>
    </row>
    <row r="276" spans="1:15" x14ac:dyDescent="0.25">
      <c r="A276" t="s">
        <v>2292</v>
      </c>
      <c r="B276" t="s">
        <v>2293</v>
      </c>
      <c r="C276" t="s">
        <v>2294</v>
      </c>
      <c r="D276" t="s">
        <v>2295</v>
      </c>
      <c r="E276" t="s">
        <v>2296</v>
      </c>
      <c r="F276" t="s">
        <v>2297</v>
      </c>
      <c r="G276" t="s">
        <v>2298</v>
      </c>
      <c r="H276" t="s">
        <v>2299</v>
      </c>
      <c r="I276" t="s">
        <v>125</v>
      </c>
      <c r="J276" t="s">
        <v>126</v>
      </c>
      <c r="K276" t="s">
        <v>2300</v>
      </c>
      <c r="L276" t="s">
        <v>2301</v>
      </c>
      <c r="M276" t="s">
        <v>2302</v>
      </c>
      <c r="N276" t="s">
        <v>2303</v>
      </c>
      <c r="O276" t="s">
        <v>2304</v>
      </c>
    </row>
    <row r="277" spans="1:15" x14ac:dyDescent="0.25">
      <c r="A277" t="s">
        <v>2305</v>
      </c>
      <c r="B277" t="s">
        <v>2306</v>
      </c>
      <c r="C277" t="s">
        <v>2307</v>
      </c>
      <c r="D277" t="s">
        <v>2308</v>
      </c>
      <c r="E277" t="s">
        <v>2309</v>
      </c>
      <c r="F277" t="s">
        <v>2310</v>
      </c>
      <c r="G277" t="s">
        <v>136</v>
      </c>
      <c r="H277" t="s">
        <v>137</v>
      </c>
      <c r="I277" t="s">
        <v>2311</v>
      </c>
      <c r="J277" t="s">
        <v>2312</v>
      </c>
      <c r="K277" t="s">
        <v>2300</v>
      </c>
      <c r="L277" t="s">
        <v>2301</v>
      </c>
      <c r="M277" t="s">
        <v>2302</v>
      </c>
      <c r="N277" t="s">
        <v>2303</v>
      </c>
      <c r="O277" t="s">
        <v>2313</v>
      </c>
    </row>
    <row r="278" spans="1:15" x14ac:dyDescent="0.25">
      <c r="A278" t="s">
        <v>2314</v>
      </c>
      <c r="B278" t="s">
        <v>2315</v>
      </c>
      <c r="C278" t="s">
        <v>2316</v>
      </c>
      <c r="D278" t="s">
        <v>2317</v>
      </c>
      <c r="E278" t="s">
        <v>2318</v>
      </c>
      <c r="F278" t="s">
        <v>2319</v>
      </c>
      <c r="G278" t="s">
        <v>2320</v>
      </c>
      <c r="H278" t="s">
        <v>2321</v>
      </c>
      <c r="I278" t="s">
        <v>125</v>
      </c>
      <c r="J278" t="s">
        <v>126</v>
      </c>
      <c r="K278" t="s">
        <v>2300</v>
      </c>
      <c r="L278" t="s">
        <v>2301</v>
      </c>
      <c r="M278" t="s">
        <v>2302</v>
      </c>
      <c r="N278" t="s">
        <v>2303</v>
      </c>
      <c r="O278" t="s">
        <v>2322</v>
      </c>
    </row>
    <row r="279" spans="1:15" x14ac:dyDescent="0.25">
      <c r="A279" t="s">
        <v>2323</v>
      </c>
      <c r="B279" t="s">
        <v>2324</v>
      </c>
      <c r="C279" t="s">
        <v>2325</v>
      </c>
      <c r="D279" t="s">
        <v>2326</v>
      </c>
      <c r="E279" t="s">
        <v>2327</v>
      </c>
      <c r="F279" t="s">
        <v>2328</v>
      </c>
      <c r="G279" t="s">
        <v>2329</v>
      </c>
      <c r="H279" t="s">
        <v>2330</v>
      </c>
      <c r="I279" t="s">
        <v>125</v>
      </c>
      <c r="J279" t="s">
        <v>126</v>
      </c>
      <c r="K279" t="s">
        <v>2300</v>
      </c>
      <c r="L279" t="s">
        <v>2301</v>
      </c>
      <c r="M279" t="s">
        <v>2302</v>
      </c>
      <c r="N279" t="s">
        <v>2303</v>
      </c>
      <c r="O279" t="s">
        <v>2331</v>
      </c>
    </row>
    <row r="280" spans="1:15" x14ac:dyDescent="0.25">
      <c r="A280" t="s">
        <v>2332</v>
      </c>
      <c r="B280" t="s">
        <v>2333</v>
      </c>
      <c r="C280" t="s">
        <v>2334</v>
      </c>
      <c r="D280" t="s">
        <v>2335</v>
      </c>
      <c r="E280" t="s">
        <v>2336</v>
      </c>
      <c r="F280" t="s">
        <v>2337</v>
      </c>
      <c r="G280" t="s">
        <v>35</v>
      </c>
      <c r="H280" t="s">
        <v>34</v>
      </c>
      <c r="I280" t="s">
        <v>2311</v>
      </c>
      <c r="J280" t="s">
        <v>2312</v>
      </c>
      <c r="K280" t="s">
        <v>2300</v>
      </c>
      <c r="L280" t="s">
        <v>2301</v>
      </c>
      <c r="M280" t="s">
        <v>2302</v>
      </c>
      <c r="N280" t="s">
        <v>2303</v>
      </c>
      <c r="O280" t="s">
        <v>2338</v>
      </c>
    </row>
    <row r="281" spans="1:15" x14ac:dyDescent="0.25">
      <c r="A281" t="s">
        <v>2339</v>
      </c>
      <c r="B281" t="s">
        <v>2340</v>
      </c>
      <c r="C281" t="s">
        <v>2341</v>
      </c>
      <c r="D281" t="s">
        <v>2342</v>
      </c>
      <c r="E281" t="s">
        <v>2343</v>
      </c>
      <c r="F281" t="s">
        <v>2344</v>
      </c>
      <c r="G281" t="s">
        <v>172</v>
      </c>
      <c r="H281" t="s">
        <v>173</v>
      </c>
      <c r="I281" t="s">
        <v>2311</v>
      </c>
      <c r="J281" t="s">
        <v>2312</v>
      </c>
      <c r="K281" t="s">
        <v>2300</v>
      </c>
      <c r="L281" t="s">
        <v>2301</v>
      </c>
      <c r="M281" t="s">
        <v>2302</v>
      </c>
      <c r="N281" t="s">
        <v>2303</v>
      </c>
      <c r="O281" t="s">
        <v>2345</v>
      </c>
    </row>
    <row r="282" spans="1:15" x14ac:dyDescent="0.25">
      <c r="A282" t="s">
        <v>2346</v>
      </c>
      <c r="B282" t="s">
        <v>2347</v>
      </c>
      <c r="C282" t="s">
        <v>2348</v>
      </c>
      <c r="D282" t="s">
        <v>2349</v>
      </c>
      <c r="E282" t="s">
        <v>2350</v>
      </c>
      <c r="F282" t="s">
        <v>2351</v>
      </c>
      <c r="G282" t="s">
        <v>2352</v>
      </c>
      <c r="H282" t="s">
        <v>2353</v>
      </c>
      <c r="I282" t="s">
        <v>125</v>
      </c>
      <c r="J282" t="s">
        <v>126</v>
      </c>
      <c r="K282" t="s">
        <v>2300</v>
      </c>
      <c r="L282" t="s">
        <v>2301</v>
      </c>
      <c r="M282" t="s">
        <v>2302</v>
      </c>
      <c r="N282" t="s">
        <v>2303</v>
      </c>
      <c r="O282" t="s">
        <v>2354</v>
      </c>
    </row>
    <row r="283" spans="1:15" x14ac:dyDescent="0.25">
      <c r="A283" t="s">
        <v>2355</v>
      </c>
      <c r="B283" t="s">
        <v>2356</v>
      </c>
      <c r="C283" t="s">
        <v>2357</v>
      </c>
      <c r="D283" t="s">
        <v>2358</v>
      </c>
      <c r="E283" t="s">
        <v>2359</v>
      </c>
      <c r="F283" t="s">
        <v>2360</v>
      </c>
      <c r="G283" t="s">
        <v>2361</v>
      </c>
      <c r="H283" t="s">
        <v>2362</v>
      </c>
      <c r="I283" t="s">
        <v>2311</v>
      </c>
      <c r="J283" t="s">
        <v>2312</v>
      </c>
      <c r="K283" t="s">
        <v>2300</v>
      </c>
      <c r="L283" t="s">
        <v>2301</v>
      </c>
      <c r="M283" t="s">
        <v>1983</v>
      </c>
      <c r="N283" t="s">
        <v>1984</v>
      </c>
      <c r="O283" t="s">
        <v>2363</v>
      </c>
    </row>
    <row r="284" spans="1:15" x14ac:dyDescent="0.25">
      <c r="A284" t="s">
        <v>2364</v>
      </c>
      <c r="B284" t="s">
        <v>2365</v>
      </c>
      <c r="C284" t="s">
        <v>2366</v>
      </c>
      <c r="D284" t="s">
        <v>2367</v>
      </c>
      <c r="E284" t="s">
        <v>2368</v>
      </c>
      <c r="F284" t="s">
        <v>2369</v>
      </c>
      <c r="G284" t="s">
        <v>2370</v>
      </c>
      <c r="H284" t="s">
        <v>2371</v>
      </c>
      <c r="I284" t="s">
        <v>2311</v>
      </c>
      <c r="J284" t="s">
        <v>2312</v>
      </c>
      <c r="K284" t="s">
        <v>2300</v>
      </c>
      <c r="L284" t="s">
        <v>2301</v>
      </c>
      <c r="M284" t="s">
        <v>2302</v>
      </c>
      <c r="N284" t="s">
        <v>2303</v>
      </c>
      <c r="O284" t="s">
        <v>2372</v>
      </c>
    </row>
    <row r="285" spans="1:15" x14ac:dyDescent="0.25">
      <c r="A285" t="s">
        <v>2373</v>
      </c>
      <c r="B285" t="s">
        <v>2374</v>
      </c>
      <c r="C285" t="s">
        <v>2375</v>
      </c>
      <c r="D285" t="s">
        <v>2376</v>
      </c>
      <c r="E285" t="s">
        <v>2377</v>
      </c>
      <c r="F285" t="s">
        <v>2378</v>
      </c>
      <c r="G285" t="s">
        <v>2379</v>
      </c>
      <c r="H285" t="s">
        <v>2380</v>
      </c>
      <c r="I285" t="s">
        <v>125</v>
      </c>
      <c r="J285" t="s">
        <v>126</v>
      </c>
      <c r="K285" t="s">
        <v>2300</v>
      </c>
      <c r="L285" t="s">
        <v>2301</v>
      </c>
      <c r="M285" t="s">
        <v>2302</v>
      </c>
      <c r="N285" t="s">
        <v>2303</v>
      </c>
      <c r="O285" t="s">
        <v>2381</v>
      </c>
    </row>
    <row r="286" spans="1:15" x14ac:dyDescent="0.25">
      <c r="A286" t="s">
        <v>2382</v>
      </c>
      <c r="B286" t="s">
        <v>2383</v>
      </c>
      <c r="C286" t="s">
        <v>2384</v>
      </c>
      <c r="D286" t="s">
        <v>2385</v>
      </c>
      <c r="E286" t="s">
        <v>2386</v>
      </c>
      <c r="F286" t="s">
        <v>2387</v>
      </c>
      <c r="G286" t="s">
        <v>2388</v>
      </c>
      <c r="H286" t="s">
        <v>2389</v>
      </c>
      <c r="I286" t="s">
        <v>299</v>
      </c>
      <c r="J286" t="s">
        <v>300</v>
      </c>
      <c r="K286" t="s">
        <v>301</v>
      </c>
      <c r="L286" t="s">
        <v>302</v>
      </c>
      <c r="M286" t="s">
        <v>2390</v>
      </c>
      <c r="N286" t="s">
        <v>2391</v>
      </c>
      <c r="O286" t="s">
        <v>2392</v>
      </c>
    </row>
    <row r="287" spans="1:15" x14ac:dyDescent="0.25">
      <c r="A287" t="s">
        <v>2393</v>
      </c>
      <c r="B287" t="s">
        <v>2394</v>
      </c>
      <c r="C287" t="s">
        <v>2395</v>
      </c>
      <c r="D287" t="s">
        <v>2396</v>
      </c>
      <c r="E287" t="s">
        <v>2397</v>
      </c>
      <c r="F287" t="s">
        <v>2398</v>
      </c>
      <c r="G287" t="s">
        <v>2399</v>
      </c>
      <c r="H287" t="s">
        <v>2400</v>
      </c>
      <c r="I287" t="s">
        <v>730</v>
      </c>
      <c r="J287" t="s">
        <v>731</v>
      </c>
      <c r="K287" t="s">
        <v>301</v>
      </c>
      <c r="L287" t="s">
        <v>302</v>
      </c>
      <c r="M287" t="s">
        <v>732</v>
      </c>
      <c r="N287" t="s">
        <v>733</v>
      </c>
      <c r="O287" t="s">
        <v>2401</v>
      </c>
    </row>
    <row r="288" spans="1:15" x14ac:dyDescent="0.25">
      <c r="A288" t="s">
        <v>2402</v>
      </c>
      <c r="B288" t="s">
        <v>2403</v>
      </c>
      <c r="C288" t="s">
        <v>2404</v>
      </c>
      <c r="D288" t="s">
        <v>2405</v>
      </c>
      <c r="E288" t="s">
        <v>2406</v>
      </c>
      <c r="F288" t="s">
        <v>2407</v>
      </c>
      <c r="G288" t="s">
        <v>2388</v>
      </c>
      <c r="H288" t="s">
        <v>2389</v>
      </c>
      <c r="I288" t="s">
        <v>299</v>
      </c>
      <c r="J288" t="s">
        <v>300</v>
      </c>
      <c r="K288" t="s">
        <v>2408</v>
      </c>
      <c r="L288" t="s">
        <v>2409</v>
      </c>
      <c r="M288" t="s">
        <v>2410</v>
      </c>
      <c r="N288" t="s">
        <v>2411</v>
      </c>
      <c r="O288" t="s">
        <v>2412</v>
      </c>
    </row>
    <row r="289" spans="1:15" x14ac:dyDescent="0.25">
      <c r="A289" t="s">
        <v>2413</v>
      </c>
      <c r="B289" t="s">
        <v>2414</v>
      </c>
      <c r="C289" t="s">
        <v>2415</v>
      </c>
      <c r="D289" t="s">
        <v>2416</v>
      </c>
      <c r="E289" t="s">
        <v>2417</v>
      </c>
      <c r="F289" t="s">
        <v>2415</v>
      </c>
      <c r="G289" t="s">
        <v>2418</v>
      </c>
      <c r="H289" t="s">
        <v>2419</v>
      </c>
      <c r="I289" t="s">
        <v>80</v>
      </c>
      <c r="J289" t="s">
        <v>81</v>
      </c>
      <c r="K289" t="s">
        <v>38</v>
      </c>
      <c r="L289" t="s">
        <v>39</v>
      </c>
      <c r="M289" t="s">
        <v>82</v>
      </c>
      <c r="N289" t="s">
        <v>83</v>
      </c>
      <c r="O289" t="s">
        <v>2420</v>
      </c>
    </row>
    <row r="290" spans="1:15" x14ac:dyDescent="0.25">
      <c r="A290" t="s">
        <v>2421</v>
      </c>
      <c r="B290" t="s">
        <v>2422</v>
      </c>
      <c r="C290" t="s">
        <v>2423</v>
      </c>
      <c r="D290" t="s">
        <v>2424</v>
      </c>
      <c r="E290" t="s">
        <v>2425</v>
      </c>
      <c r="F290" t="s">
        <v>2426</v>
      </c>
      <c r="G290" t="s">
        <v>392</v>
      </c>
      <c r="H290" t="s">
        <v>393</v>
      </c>
      <c r="I290" t="s">
        <v>299</v>
      </c>
      <c r="J290" t="s">
        <v>300</v>
      </c>
      <c r="K290" t="s">
        <v>323</v>
      </c>
      <c r="L290" t="s">
        <v>324</v>
      </c>
      <c r="M290" t="s">
        <v>2427</v>
      </c>
      <c r="N290" t="s">
        <v>2428</v>
      </c>
      <c r="O290" t="s">
        <v>2429</v>
      </c>
    </row>
    <row r="291" spans="1:15" x14ac:dyDescent="0.25">
      <c r="A291" t="s">
        <v>2430</v>
      </c>
      <c r="B291" t="s">
        <v>2431</v>
      </c>
      <c r="C291" t="s">
        <v>2432</v>
      </c>
      <c r="D291" t="s">
        <v>2433</v>
      </c>
      <c r="E291" t="s">
        <v>390</v>
      </c>
      <c r="F291" t="s">
        <v>391</v>
      </c>
      <c r="G291" t="s">
        <v>392</v>
      </c>
      <c r="H291" t="s">
        <v>393</v>
      </c>
      <c r="I291" t="s">
        <v>299</v>
      </c>
      <c r="J291" t="s">
        <v>300</v>
      </c>
      <c r="K291" t="s">
        <v>301</v>
      </c>
      <c r="L291" t="s">
        <v>302</v>
      </c>
      <c r="M291" t="s">
        <v>2434</v>
      </c>
      <c r="N291" t="s">
        <v>2435</v>
      </c>
      <c r="O291" t="s">
        <v>2436</v>
      </c>
    </row>
    <row r="292" spans="1:15" x14ac:dyDescent="0.25">
      <c r="A292" t="s">
        <v>2437</v>
      </c>
      <c r="B292" t="s">
        <v>2438</v>
      </c>
      <c r="C292" t="s">
        <v>2439</v>
      </c>
      <c r="D292" t="s">
        <v>2440</v>
      </c>
      <c r="E292" t="s">
        <v>2441</v>
      </c>
      <c r="F292" t="s">
        <v>2439</v>
      </c>
      <c r="G292" t="s">
        <v>392</v>
      </c>
      <c r="H292" t="s">
        <v>393</v>
      </c>
      <c r="I292" t="s">
        <v>80</v>
      </c>
      <c r="J292" t="s">
        <v>81</v>
      </c>
      <c r="K292" t="s">
        <v>301</v>
      </c>
      <c r="L292" t="s">
        <v>302</v>
      </c>
      <c r="M292" t="s">
        <v>2442</v>
      </c>
      <c r="N292" t="s">
        <v>2443</v>
      </c>
      <c r="O292" t="s">
        <v>2444</v>
      </c>
    </row>
    <row r="293" spans="1:15" x14ac:dyDescent="0.25">
      <c r="A293" t="s">
        <v>2445</v>
      </c>
      <c r="B293" t="s">
        <v>2446</v>
      </c>
      <c r="C293" t="s">
        <v>2447</v>
      </c>
      <c r="D293" t="s">
        <v>2448</v>
      </c>
      <c r="E293" t="s">
        <v>390</v>
      </c>
      <c r="F293" t="s">
        <v>391</v>
      </c>
      <c r="G293" t="s">
        <v>392</v>
      </c>
      <c r="H293" t="s">
        <v>393</v>
      </c>
      <c r="I293" t="s">
        <v>299</v>
      </c>
      <c r="J293" t="s">
        <v>300</v>
      </c>
      <c r="K293" t="s">
        <v>301</v>
      </c>
      <c r="L293" t="s">
        <v>302</v>
      </c>
      <c r="M293" t="s">
        <v>2449</v>
      </c>
      <c r="N293" t="s">
        <v>2450</v>
      </c>
      <c r="O293" t="s">
        <v>2451</v>
      </c>
    </row>
    <row r="294" spans="1:15" x14ac:dyDescent="0.25">
      <c r="A294" t="s">
        <v>2452</v>
      </c>
      <c r="B294" t="s">
        <v>2453</v>
      </c>
      <c r="C294" t="s">
        <v>2454</v>
      </c>
      <c r="D294" t="s">
        <v>2455</v>
      </c>
      <c r="E294" t="s">
        <v>2456</v>
      </c>
      <c r="F294" t="s">
        <v>2457</v>
      </c>
      <c r="G294" t="s">
        <v>1566</v>
      </c>
      <c r="H294" t="s">
        <v>1567</v>
      </c>
      <c r="I294" t="s">
        <v>2458</v>
      </c>
      <c r="J294" t="s">
        <v>2459</v>
      </c>
      <c r="K294" t="s">
        <v>353</v>
      </c>
      <c r="L294" t="s">
        <v>354</v>
      </c>
      <c r="M294" t="s">
        <v>2460</v>
      </c>
      <c r="N294" t="s">
        <v>2461</v>
      </c>
      <c r="O294" t="s">
        <v>2462</v>
      </c>
    </row>
    <row r="295" spans="1:15" x14ac:dyDescent="0.25">
      <c r="A295" t="s">
        <v>2463</v>
      </c>
      <c r="B295" t="s">
        <v>2464</v>
      </c>
      <c r="C295" t="s">
        <v>2465</v>
      </c>
      <c r="D295" t="s">
        <v>2466</v>
      </c>
      <c r="E295" t="s">
        <v>2456</v>
      </c>
      <c r="F295" t="s">
        <v>2457</v>
      </c>
      <c r="G295" t="s">
        <v>1566</v>
      </c>
      <c r="H295" t="s">
        <v>1567</v>
      </c>
      <c r="I295" t="s">
        <v>2467</v>
      </c>
      <c r="J295" t="s">
        <v>2468</v>
      </c>
      <c r="K295" t="s">
        <v>353</v>
      </c>
      <c r="L295" t="s">
        <v>354</v>
      </c>
      <c r="M295" t="s">
        <v>2460</v>
      </c>
      <c r="N295" t="s">
        <v>2461</v>
      </c>
      <c r="O295" t="s">
        <v>2469</v>
      </c>
    </row>
    <row r="296" spans="1:15" x14ac:dyDescent="0.25">
      <c r="A296" t="s">
        <v>2470</v>
      </c>
      <c r="B296" t="s">
        <v>2471</v>
      </c>
      <c r="C296" t="s">
        <v>2472</v>
      </c>
      <c r="D296" t="s">
        <v>2473</v>
      </c>
      <c r="E296" t="s">
        <v>2474</v>
      </c>
      <c r="F296" t="s">
        <v>2472</v>
      </c>
      <c r="G296" t="s">
        <v>250</v>
      </c>
      <c r="H296" t="s">
        <v>251</v>
      </c>
      <c r="I296" t="s">
        <v>252</v>
      </c>
      <c r="J296" t="s">
        <v>253</v>
      </c>
      <c r="K296" t="s">
        <v>2475</v>
      </c>
      <c r="L296" t="s">
        <v>2476</v>
      </c>
      <c r="M296" t="s">
        <v>127</v>
      </c>
      <c r="N296" t="s">
        <v>128</v>
      </c>
      <c r="O296" t="s">
        <v>2477</v>
      </c>
    </row>
    <row r="297" spans="1:15" x14ac:dyDescent="0.25">
      <c r="A297" t="s">
        <v>2478</v>
      </c>
      <c r="B297" t="s">
        <v>2479</v>
      </c>
      <c r="C297" t="s">
        <v>2480</v>
      </c>
      <c r="D297" t="s">
        <v>2481</v>
      </c>
      <c r="E297" t="s">
        <v>2482</v>
      </c>
      <c r="F297" t="s">
        <v>2480</v>
      </c>
      <c r="G297" t="s">
        <v>250</v>
      </c>
      <c r="H297" t="s">
        <v>251</v>
      </c>
      <c r="I297" t="s">
        <v>252</v>
      </c>
      <c r="J297" t="s">
        <v>253</v>
      </c>
      <c r="K297" t="s">
        <v>2475</v>
      </c>
      <c r="L297" t="s">
        <v>2476</v>
      </c>
      <c r="M297" t="s">
        <v>127</v>
      </c>
      <c r="N297" t="s">
        <v>128</v>
      </c>
      <c r="O297" t="s">
        <v>2483</v>
      </c>
    </row>
    <row r="298" spans="1:15" x14ac:dyDescent="0.25">
      <c r="A298" t="s">
        <v>2484</v>
      </c>
      <c r="B298" t="s">
        <v>2485</v>
      </c>
      <c r="C298" t="s">
        <v>2486</v>
      </c>
      <c r="D298" t="s">
        <v>2487</v>
      </c>
      <c r="E298" t="s">
        <v>2488</v>
      </c>
      <c r="F298" t="s">
        <v>2486</v>
      </c>
      <c r="G298" t="s">
        <v>250</v>
      </c>
      <c r="H298" t="s">
        <v>251</v>
      </c>
      <c r="I298" t="s">
        <v>252</v>
      </c>
      <c r="J298" t="s">
        <v>253</v>
      </c>
      <c r="K298" t="s">
        <v>2475</v>
      </c>
      <c r="L298" t="s">
        <v>2476</v>
      </c>
      <c r="M298" t="s">
        <v>127</v>
      </c>
      <c r="N298" t="s">
        <v>128</v>
      </c>
      <c r="O298" t="s">
        <v>2489</v>
      </c>
    </row>
    <row r="299" spans="1:15" x14ac:dyDescent="0.25">
      <c r="A299" t="s">
        <v>2490</v>
      </c>
      <c r="B299" t="s">
        <v>2491</v>
      </c>
      <c r="C299" t="s">
        <v>2492</v>
      </c>
      <c r="D299" t="s">
        <v>2493</v>
      </c>
      <c r="E299" t="s">
        <v>2494</v>
      </c>
      <c r="F299" t="s">
        <v>2495</v>
      </c>
      <c r="G299" t="s">
        <v>2496</v>
      </c>
      <c r="H299" t="s">
        <v>2495</v>
      </c>
      <c r="I299" t="s">
        <v>299</v>
      </c>
      <c r="J299" t="s">
        <v>300</v>
      </c>
      <c r="K299" t="s">
        <v>353</v>
      </c>
      <c r="L299" t="s">
        <v>354</v>
      </c>
      <c r="M299" t="s">
        <v>2497</v>
      </c>
      <c r="N299" t="s">
        <v>2498</v>
      </c>
      <c r="O299" t="s">
        <v>2499</v>
      </c>
    </row>
    <row r="300" spans="1:15" x14ac:dyDescent="0.25">
      <c r="A300" t="s">
        <v>2500</v>
      </c>
      <c r="B300" t="s">
        <v>2501</v>
      </c>
      <c r="C300" t="s">
        <v>2502</v>
      </c>
      <c r="D300" t="s">
        <v>2503</v>
      </c>
      <c r="E300" t="s">
        <v>2504</v>
      </c>
      <c r="F300" t="s">
        <v>2505</v>
      </c>
      <c r="G300" t="s">
        <v>2506</v>
      </c>
      <c r="H300" t="s">
        <v>2505</v>
      </c>
      <c r="I300" t="s">
        <v>299</v>
      </c>
      <c r="J300" t="s">
        <v>300</v>
      </c>
      <c r="K300" t="s">
        <v>353</v>
      </c>
      <c r="L300" t="s">
        <v>354</v>
      </c>
      <c r="M300" t="s">
        <v>2507</v>
      </c>
      <c r="N300" t="s">
        <v>2508</v>
      </c>
      <c r="O300" t="s">
        <v>2509</v>
      </c>
    </row>
    <row r="301" spans="1:15" x14ac:dyDescent="0.25">
      <c r="A301" t="s">
        <v>2510</v>
      </c>
      <c r="B301" t="s">
        <v>2511</v>
      </c>
      <c r="C301" t="s">
        <v>2512</v>
      </c>
      <c r="D301" t="s">
        <v>2513</v>
      </c>
      <c r="E301" t="s">
        <v>2514</v>
      </c>
      <c r="F301" t="s">
        <v>2515</v>
      </c>
      <c r="G301" t="s">
        <v>2516</v>
      </c>
      <c r="H301" t="s">
        <v>2515</v>
      </c>
      <c r="I301" t="s">
        <v>299</v>
      </c>
      <c r="J301" t="s">
        <v>300</v>
      </c>
      <c r="K301" t="s">
        <v>353</v>
      </c>
      <c r="L301" t="s">
        <v>354</v>
      </c>
      <c r="M301" t="s">
        <v>2517</v>
      </c>
      <c r="N301" t="s">
        <v>2518</v>
      </c>
      <c r="O301" t="s">
        <v>2519</v>
      </c>
    </row>
    <row r="302" spans="1:15" x14ac:dyDescent="0.25">
      <c r="A302" t="s">
        <v>2520</v>
      </c>
      <c r="B302" t="s">
        <v>2521</v>
      </c>
      <c r="C302" t="s">
        <v>2522</v>
      </c>
      <c r="D302" t="s">
        <v>2523</v>
      </c>
      <c r="E302" t="s">
        <v>2524</v>
      </c>
      <c r="F302" t="s">
        <v>2525</v>
      </c>
      <c r="G302" t="s">
        <v>2526</v>
      </c>
      <c r="H302" t="s">
        <v>2527</v>
      </c>
      <c r="I302" t="s">
        <v>2528</v>
      </c>
      <c r="J302" t="s">
        <v>2529</v>
      </c>
      <c r="K302" t="s">
        <v>38</v>
      </c>
      <c r="L302" t="s">
        <v>39</v>
      </c>
      <c r="M302" t="s">
        <v>2530</v>
      </c>
      <c r="N302" t="s">
        <v>2531</v>
      </c>
      <c r="O302" t="s">
        <v>2532</v>
      </c>
    </row>
    <row r="303" spans="1:15" x14ac:dyDescent="0.25">
      <c r="A303" t="s">
        <v>2533</v>
      </c>
      <c r="B303" t="s">
        <v>2534</v>
      </c>
      <c r="C303" t="s">
        <v>2535</v>
      </c>
      <c r="D303" t="s">
        <v>2536</v>
      </c>
      <c r="E303" t="s">
        <v>2537</v>
      </c>
      <c r="F303" t="s">
        <v>2535</v>
      </c>
      <c r="G303" t="s">
        <v>1566</v>
      </c>
      <c r="H303" t="s">
        <v>1567</v>
      </c>
      <c r="I303" t="s">
        <v>2538</v>
      </c>
      <c r="J303" t="s">
        <v>2539</v>
      </c>
      <c r="K303" t="s">
        <v>38</v>
      </c>
      <c r="L303" t="s">
        <v>39</v>
      </c>
      <c r="M303" t="s">
        <v>2540</v>
      </c>
      <c r="N303" t="s">
        <v>2541</v>
      </c>
      <c r="O303" t="s">
        <v>2542</v>
      </c>
    </row>
    <row r="304" spans="1:15" x14ac:dyDescent="0.25">
      <c r="A304" t="s">
        <v>2543</v>
      </c>
      <c r="B304" t="s">
        <v>2544</v>
      </c>
      <c r="C304" t="s">
        <v>2545</v>
      </c>
      <c r="D304" t="s">
        <v>2546</v>
      </c>
      <c r="E304" t="s">
        <v>2537</v>
      </c>
      <c r="F304" t="s">
        <v>2535</v>
      </c>
      <c r="G304" t="s">
        <v>1566</v>
      </c>
      <c r="H304" t="s">
        <v>1567</v>
      </c>
      <c r="I304" t="s">
        <v>299</v>
      </c>
      <c r="J304" t="s">
        <v>300</v>
      </c>
      <c r="K304" t="s">
        <v>38</v>
      </c>
      <c r="L304" t="s">
        <v>39</v>
      </c>
      <c r="M304" t="s">
        <v>2547</v>
      </c>
      <c r="N304" t="s">
        <v>2548</v>
      </c>
      <c r="O304" t="s">
        <v>2549</v>
      </c>
    </row>
    <row r="305" spans="1:15" x14ac:dyDescent="0.25">
      <c r="A305" t="s">
        <v>2550</v>
      </c>
      <c r="B305" t="s">
        <v>2551</v>
      </c>
      <c r="C305" t="s">
        <v>2552</v>
      </c>
      <c r="D305" t="s">
        <v>2553</v>
      </c>
      <c r="E305" t="s">
        <v>2554</v>
      </c>
      <c r="F305" t="s">
        <v>2555</v>
      </c>
      <c r="G305" t="s">
        <v>1566</v>
      </c>
      <c r="H305" t="s">
        <v>1567</v>
      </c>
      <c r="I305" t="s">
        <v>2538</v>
      </c>
      <c r="J305" t="s">
        <v>2539</v>
      </c>
      <c r="K305" t="s">
        <v>323</v>
      </c>
      <c r="L305" t="s">
        <v>324</v>
      </c>
      <c r="M305" t="s">
        <v>2540</v>
      </c>
      <c r="N305" t="s">
        <v>2541</v>
      </c>
      <c r="O305" t="s">
        <v>2556</v>
      </c>
    </row>
    <row r="306" spans="1:15" x14ac:dyDescent="0.25">
      <c r="A306" t="s">
        <v>2557</v>
      </c>
      <c r="B306" t="s">
        <v>2558</v>
      </c>
      <c r="C306" t="s">
        <v>2559</v>
      </c>
      <c r="D306" t="s">
        <v>2560</v>
      </c>
      <c r="E306" t="s">
        <v>2554</v>
      </c>
      <c r="F306" t="s">
        <v>2555</v>
      </c>
      <c r="G306" t="s">
        <v>1566</v>
      </c>
      <c r="H306" t="s">
        <v>1567</v>
      </c>
      <c r="I306" t="s">
        <v>299</v>
      </c>
      <c r="J306" t="s">
        <v>300</v>
      </c>
      <c r="K306" t="s">
        <v>323</v>
      </c>
      <c r="L306" t="s">
        <v>324</v>
      </c>
      <c r="M306" t="s">
        <v>2561</v>
      </c>
      <c r="N306" t="s">
        <v>2562</v>
      </c>
      <c r="O306" t="s">
        <v>2563</v>
      </c>
    </row>
    <row r="307" spans="1:15" x14ac:dyDescent="0.25">
      <c r="A307" t="s">
        <v>2564</v>
      </c>
      <c r="B307" t="s">
        <v>2565</v>
      </c>
      <c r="C307" t="s">
        <v>2566</v>
      </c>
      <c r="D307" t="s">
        <v>2567</v>
      </c>
      <c r="E307" t="s">
        <v>2568</v>
      </c>
      <c r="F307" t="s">
        <v>2566</v>
      </c>
      <c r="G307" t="s">
        <v>2569</v>
      </c>
      <c r="H307" t="s">
        <v>2570</v>
      </c>
      <c r="I307" t="s">
        <v>759</v>
      </c>
      <c r="J307" t="s">
        <v>760</v>
      </c>
      <c r="K307" t="s">
        <v>2571</v>
      </c>
      <c r="L307" t="s">
        <v>2572</v>
      </c>
      <c r="M307" t="s">
        <v>486</v>
      </c>
      <c r="N307" t="s">
        <v>487</v>
      </c>
      <c r="O307" t="s">
        <v>2573</v>
      </c>
    </row>
    <row r="308" spans="1:15" x14ac:dyDescent="0.25">
      <c r="A308" t="s">
        <v>2574</v>
      </c>
      <c r="B308" t="s">
        <v>2575</v>
      </c>
      <c r="C308" t="s">
        <v>2576</v>
      </c>
      <c r="D308" t="s">
        <v>2577</v>
      </c>
      <c r="E308" t="s">
        <v>2578</v>
      </c>
      <c r="F308" t="s">
        <v>2576</v>
      </c>
      <c r="G308" t="s">
        <v>2579</v>
      </c>
      <c r="H308" t="s">
        <v>2580</v>
      </c>
      <c r="I308" t="s">
        <v>2581</v>
      </c>
      <c r="J308" t="s">
        <v>2582</v>
      </c>
      <c r="K308" t="s">
        <v>301</v>
      </c>
      <c r="L308" t="s">
        <v>302</v>
      </c>
      <c r="M308" t="s">
        <v>2583</v>
      </c>
      <c r="N308" t="s">
        <v>2584</v>
      </c>
      <c r="O308" t="s">
        <v>2585</v>
      </c>
    </row>
    <row r="309" spans="1:15" x14ac:dyDescent="0.25">
      <c r="A309" t="s">
        <v>2586</v>
      </c>
      <c r="B309" t="s">
        <v>2587</v>
      </c>
      <c r="C309" t="s">
        <v>2588</v>
      </c>
      <c r="D309" t="s">
        <v>2589</v>
      </c>
      <c r="E309" t="s">
        <v>2590</v>
      </c>
      <c r="F309" t="s">
        <v>2591</v>
      </c>
      <c r="G309" t="s">
        <v>2526</v>
      </c>
      <c r="H309" t="s">
        <v>2527</v>
      </c>
      <c r="I309" t="s">
        <v>2528</v>
      </c>
      <c r="J309" t="s">
        <v>2529</v>
      </c>
      <c r="K309" t="s">
        <v>584</v>
      </c>
      <c r="L309" t="s">
        <v>585</v>
      </c>
      <c r="M309" t="s">
        <v>2530</v>
      </c>
      <c r="N309" t="s">
        <v>2531</v>
      </c>
      <c r="O309" t="s">
        <v>2592</v>
      </c>
    </row>
    <row r="310" spans="1:15" x14ac:dyDescent="0.25">
      <c r="A310" t="s">
        <v>2593</v>
      </c>
      <c r="B310" t="s">
        <v>2594</v>
      </c>
      <c r="C310" t="s">
        <v>2595</v>
      </c>
      <c r="D310" t="s">
        <v>2596</v>
      </c>
      <c r="E310" t="s">
        <v>2597</v>
      </c>
      <c r="F310" t="s">
        <v>2598</v>
      </c>
      <c r="G310" t="s">
        <v>2599</v>
      </c>
      <c r="H310" t="s">
        <v>2600</v>
      </c>
      <c r="I310" t="s">
        <v>2538</v>
      </c>
      <c r="J310" t="s">
        <v>2539</v>
      </c>
      <c r="K310" t="s">
        <v>584</v>
      </c>
      <c r="L310" t="s">
        <v>585</v>
      </c>
      <c r="M310" t="s">
        <v>2540</v>
      </c>
      <c r="N310" t="s">
        <v>2541</v>
      </c>
      <c r="O310" t="s">
        <v>2601</v>
      </c>
    </row>
    <row r="311" spans="1:15" x14ac:dyDescent="0.25">
      <c r="A311" t="s">
        <v>2602</v>
      </c>
      <c r="B311" t="s">
        <v>2603</v>
      </c>
      <c r="C311" t="s">
        <v>2604</v>
      </c>
      <c r="D311" t="s">
        <v>2605</v>
      </c>
      <c r="E311" t="s">
        <v>2606</v>
      </c>
      <c r="F311" t="s">
        <v>2604</v>
      </c>
      <c r="G311" t="s">
        <v>701</v>
      </c>
      <c r="H311" t="s">
        <v>702</v>
      </c>
      <c r="I311" t="s">
        <v>2607</v>
      </c>
      <c r="J311" t="s">
        <v>2608</v>
      </c>
      <c r="K311" t="s">
        <v>761</v>
      </c>
      <c r="L311" t="s">
        <v>762</v>
      </c>
      <c r="M311" t="s">
        <v>2609</v>
      </c>
      <c r="N311" t="s">
        <v>2610</v>
      </c>
      <c r="O311" t="s">
        <v>2611</v>
      </c>
    </row>
    <row r="312" spans="1:15" x14ac:dyDescent="0.25">
      <c r="A312" t="s">
        <v>2612</v>
      </c>
      <c r="B312" t="s">
        <v>2613</v>
      </c>
      <c r="C312" t="s">
        <v>2614</v>
      </c>
      <c r="D312" t="s">
        <v>2615</v>
      </c>
      <c r="E312" t="s">
        <v>2616</v>
      </c>
      <c r="F312" t="s">
        <v>2617</v>
      </c>
      <c r="G312" t="s">
        <v>1566</v>
      </c>
      <c r="H312" t="s">
        <v>1567</v>
      </c>
      <c r="I312" t="s">
        <v>2538</v>
      </c>
      <c r="J312" t="s">
        <v>2539</v>
      </c>
      <c r="K312" t="s">
        <v>761</v>
      </c>
      <c r="L312" t="s">
        <v>762</v>
      </c>
      <c r="M312" t="s">
        <v>2618</v>
      </c>
      <c r="N312" t="s">
        <v>2619</v>
      </c>
      <c r="O312" t="s">
        <v>2620</v>
      </c>
    </row>
    <row r="313" spans="1:15" x14ac:dyDescent="0.25">
      <c r="A313" t="s">
        <v>2621</v>
      </c>
      <c r="B313" t="s">
        <v>2622</v>
      </c>
      <c r="C313" t="s">
        <v>2623</v>
      </c>
      <c r="D313" t="s">
        <v>2624</v>
      </c>
      <c r="E313" t="s">
        <v>2625</v>
      </c>
      <c r="F313" t="s">
        <v>2626</v>
      </c>
      <c r="G313" t="s">
        <v>2627</v>
      </c>
      <c r="H313" t="s">
        <v>2628</v>
      </c>
      <c r="I313" t="s">
        <v>730</v>
      </c>
      <c r="J313" t="s">
        <v>731</v>
      </c>
      <c r="K313" t="s">
        <v>761</v>
      </c>
      <c r="L313" t="s">
        <v>762</v>
      </c>
      <c r="M313" t="s">
        <v>732</v>
      </c>
      <c r="N313" t="s">
        <v>733</v>
      </c>
      <c r="O313" t="s">
        <v>2629</v>
      </c>
    </row>
    <row r="314" spans="1:15" x14ac:dyDescent="0.25">
      <c r="A314" t="s">
        <v>2630</v>
      </c>
      <c r="B314" t="s">
        <v>2631</v>
      </c>
      <c r="C314" t="s">
        <v>2632</v>
      </c>
      <c r="D314" t="s">
        <v>2633</v>
      </c>
      <c r="E314" t="s">
        <v>2634</v>
      </c>
      <c r="F314" t="s">
        <v>2635</v>
      </c>
      <c r="G314" t="s">
        <v>2636</v>
      </c>
      <c r="H314" t="s">
        <v>2635</v>
      </c>
      <c r="I314" t="s">
        <v>299</v>
      </c>
      <c r="J314" t="s">
        <v>300</v>
      </c>
      <c r="K314" t="s">
        <v>761</v>
      </c>
      <c r="L314" t="s">
        <v>762</v>
      </c>
      <c r="M314" t="s">
        <v>2637</v>
      </c>
      <c r="N314" t="s">
        <v>2638</v>
      </c>
      <c r="O314" t="s">
        <v>2639</v>
      </c>
    </row>
    <row r="315" spans="1:15" x14ac:dyDescent="0.25">
      <c r="A315" t="s">
        <v>2640</v>
      </c>
      <c r="B315" t="s">
        <v>2641</v>
      </c>
      <c r="C315" t="s">
        <v>2642</v>
      </c>
      <c r="D315" t="s">
        <v>2643</v>
      </c>
      <c r="E315" t="s">
        <v>2644</v>
      </c>
      <c r="F315" t="s">
        <v>2642</v>
      </c>
      <c r="G315" t="s">
        <v>1356</v>
      </c>
      <c r="H315" t="s">
        <v>1357</v>
      </c>
      <c r="I315" t="s">
        <v>688</v>
      </c>
      <c r="J315" t="s">
        <v>689</v>
      </c>
      <c r="K315" t="s">
        <v>761</v>
      </c>
      <c r="L315" t="s">
        <v>762</v>
      </c>
      <c r="M315" t="s">
        <v>692</v>
      </c>
      <c r="N315" t="s">
        <v>693</v>
      </c>
      <c r="O315" t="s">
        <v>2645</v>
      </c>
    </row>
    <row r="316" spans="1:15" x14ac:dyDescent="0.25">
      <c r="A316" t="s">
        <v>2646</v>
      </c>
      <c r="B316" t="s">
        <v>2647</v>
      </c>
      <c r="C316" t="s">
        <v>2648</v>
      </c>
      <c r="D316" t="s">
        <v>2649</v>
      </c>
      <c r="E316" t="s">
        <v>2650</v>
      </c>
      <c r="F316" t="s">
        <v>2648</v>
      </c>
      <c r="G316" t="s">
        <v>250</v>
      </c>
      <c r="H316" t="s">
        <v>251</v>
      </c>
      <c r="I316" t="s">
        <v>252</v>
      </c>
      <c r="J316" t="s">
        <v>253</v>
      </c>
      <c r="K316" t="s">
        <v>2651</v>
      </c>
      <c r="L316" t="s">
        <v>2652</v>
      </c>
      <c r="M316" t="s">
        <v>127</v>
      </c>
      <c r="N316" t="s">
        <v>128</v>
      </c>
      <c r="O316" t="s">
        <v>2653</v>
      </c>
    </row>
    <row r="317" spans="1:15" x14ac:dyDescent="0.25">
      <c r="A317" t="s">
        <v>2654</v>
      </c>
      <c r="B317" t="s">
        <v>2655</v>
      </c>
      <c r="C317" t="s">
        <v>2656</v>
      </c>
      <c r="D317" t="s">
        <v>2657</v>
      </c>
      <c r="E317" t="s">
        <v>2658</v>
      </c>
      <c r="F317" t="s">
        <v>2656</v>
      </c>
      <c r="G317" t="s">
        <v>250</v>
      </c>
      <c r="H317" t="s">
        <v>251</v>
      </c>
      <c r="I317" t="s">
        <v>252</v>
      </c>
      <c r="J317" t="s">
        <v>253</v>
      </c>
      <c r="K317" t="s">
        <v>2651</v>
      </c>
      <c r="L317" t="s">
        <v>2652</v>
      </c>
      <c r="M317" t="s">
        <v>127</v>
      </c>
      <c r="N317" t="s">
        <v>128</v>
      </c>
      <c r="O317" t="s">
        <v>2659</v>
      </c>
    </row>
    <row r="318" spans="1:15" x14ac:dyDescent="0.25">
      <c r="A318" t="s">
        <v>2660</v>
      </c>
      <c r="B318" t="s">
        <v>2661</v>
      </c>
      <c r="C318" t="s">
        <v>2662</v>
      </c>
      <c r="D318" t="s">
        <v>2663</v>
      </c>
      <c r="E318" t="s">
        <v>2664</v>
      </c>
      <c r="F318" t="s">
        <v>2662</v>
      </c>
      <c r="G318" t="s">
        <v>250</v>
      </c>
      <c r="H318" t="s">
        <v>251</v>
      </c>
      <c r="I318" t="s">
        <v>252</v>
      </c>
      <c r="J318" t="s">
        <v>253</v>
      </c>
      <c r="K318" t="s">
        <v>2651</v>
      </c>
      <c r="L318" t="s">
        <v>2652</v>
      </c>
      <c r="M318" t="s">
        <v>127</v>
      </c>
      <c r="N318" t="s">
        <v>128</v>
      </c>
      <c r="O318" t="s">
        <v>2665</v>
      </c>
    </row>
    <row r="319" spans="1:15" x14ac:dyDescent="0.25">
      <c r="A319" t="s">
        <v>2666</v>
      </c>
      <c r="B319" t="s">
        <v>2667</v>
      </c>
      <c r="C319" t="s">
        <v>2668</v>
      </c>
      <c r="D319" t="s">
        <v>2669</v>
      </c>
      <c r="E319" t="s">
        <v>2670</v>
      </c>
      <c r="F319" t="s">
        <v>2668</v>
      </c>
      <c r="G319" t="s">
        <v>449</v>
      </c>
      <c r="H319" t="s">
        <v>448</v>
      </c>
      <c r="I319" t="s">
        <v>80</v>
      </c>
      <c r="J319" t="s">
        <v>81</v>
      </c>
      <c r="K319" t="s">
        <v>38</v>
      </c>
      <c r="L319" t="s">
        <v>39</v>
      </c>
      <c r="M319" t="s">
        <v>2671</v>
      </c>
      <c r="N319" t="s">
        <v>2672</v>
      </c>
      <c r="O319" t="s">
        <v>2673</v>
      </c>
    </row>
    <row r="320" spans="1:15" x14ac:dyDescent="0.25">
      <c r="A320" t="s">
        <v>2674</v>
      </c>
      <c r="B320" t="s">
        <v>2675</v>
      </c>
      <c r="C320" t="s">
        <v>2676</v>
      </c>
      <c r="D320" t="s">
        <v>2677</v>
      </c>
      <c r="E320" t="s">
        <v>2678</v>
      </c>
      <c r="F320" t="s">
        <v>2679</v>
      </c>
      <c r="G320" t="s">
        <v>2680</v>
      </c>
      <c r="H320" t="s">
        <v>2681</v>
      </c>
      <c r="I320" t="s">
        <v>2222</v>
      </c>
      <c r="J320" t="s">
        <v>2223</v>
      </c>
      <c r="K320" t="s">
        <v>301</v>
      </c>
      <c r="L320" t="s">
        <v>302</v>
      </c>
      <c r="M320" t="s">
        <v>2682</v>
      </c>
      <c r="N320" t="s">
        <v>2683</v>
      </c>
      <c r="O320" t="s">
        <v>2684</v>
      </c>
    </row>
    <row r="321" spans="1:15" x14ac:dyDescent="0.25">
      <c r="A321" t="s">
        <v>2685</v>
      </c>
      <c r="B321" t="s">
        <v>2686</v>
      </c>
      <c r="C321" t="s">
        <v>2687</v>
      </c>
      <c r="D321" t="s">
        <v>2688</v>
      </c>
      <c r="E321" t="s">
        <v>2689</v>
      </c>
      <c r="F321" t="s">
        <v>2687</v>
      </c>
      <c r="G321" t="s">
        <v>1566</v>
      </c>
      <c r="H321" t="s">
        <v>1567</v>
      </c>
      <c r="I321" t="s">
        <v>2690</v>
      </c>
      <c r="J321" t="s">
        <v>2691</v>
      </c>
      <c r="K321" t="s">
        <v>2571</v>
      </c>
      <c r="L321" t="s">
        <v>2572</v>
      </c>
      <c r="M321" t="s">
        <v>2540</v>
      </c>
      <c r="N321" t="s">
        <v>2541</v>
      </c>
      <c r="O321" t="s">
        <v>2692</v>
      </c>
    </row>
    <row r="322" spans="1:15" x14ac:dyDescent="0.25">
      <c r="A322" t="s">
        <v>2693</v>
      </c>
      <c r="B322" t="s">
        <v>2694</v>
      </c>
      <c r="C322" t="s">
        <v>2695</v>
      </c>
      <c r="D322" t="s">
        <v>2696</v>
      </c>
      <c r="E322" t="s">
        <v>2697</v>
      </c>
      <c r="F322" t="s">
        <v>2695</v>
      </c>
      <c r="G322" t="s">
        <v>229</v>
      </c>
      <c r="H322" t="s">
        <v>230</v>
      </c>
      <c r="I322" t="s">
        <v>2698</v>
      </c>
      <c r="J322" t="s">
        <v>2699</v>
      </c>
      <c r="K322" t="s">
        <v>38</v>
      </c>
      <c r="L322" t="s">
        <v>39</v>
      </c>
      <c r="M322" t="s">
        <v>231</v>
      </c>
      <c r="N322" t="s">
        <v>232</v>
      </c>
      <c r="O322" t="s">
        <v>2700</v>
      </c>
    </row>
    <row r="323" spans="1:15" x14ac:dyDescent="0.25">
      <c r="A323" t="s">
        <v>2701</v>
      </c>
      <c r="B323" t="s">
        <v>2702</v>
      </c>
      <c r="C323" t="s">
        <v>2703</v>
      </c>
      <c r="D323" t="s">
        <v>2704</v>
      </c>
      <c r="E323" t="s">
        <v>2705</v>
      </c>
      <c r="F323" t="s">
        <v>2706</v>
      </c>
      <c r="G323" t="s">
        <v>2707</v>
      </c>
      <c r="H323" t="s">
        <v>2708</v>
      </c>
      <c r="I323" t="s">
        <v>80</v>
      </c>
      <c r="J323" t="s">
        <v>81</v>
      </c>
      <c r="K323" t="s">
        <v>38</v>
      </c>
      <c r="L323" t="s">
        <v>39</v>
      </c>
      <c r="M323" t="s">
        <v>82</v>
      </c>
      <c r="N323" t="s">
        <v>83</v>
      </c>
      <c r="O323" t="s">
        <v>2709</v>
      </c>
    </row>
    <row r="324" spans="1:15" x14ac:dyDescent="0.25">
      <c r="A324" t="s">
        <v>2710</v>
      </c>
      <c r="B324" t="s">
        <v>2711</v>
      </c>
      <c r="C324" t="s">
        <v>2712</v>
      </c>
      <c r="D324" t="s">
        <v>2713</v>
      </c>
      <c r="E324" t="s">
        <v>2714</v>
      </c>
      <c r="F324" t="s">
        <v>2715</v>
      </c>
      <c r="G324" t="s">
        <v>2707</v>
      </c>
      <c r="H324" t="s">
        <v>2708</v>
      </c>
      <c r="I324" t="s">
        <v>299</v>
      </c>
      <c r="J324" t="s">
        <v>300</v>
      </c>
      <c r="K324" t="s">
        <v>323</v>
      </c>
      <c r="L324" t="s">
        <v>324</v>
      </c>
      <c r="M324" t="s">
        <v>2716</v>
      </c>
      <c r="N324" t="s">
        <v>2717</v>
      </c>
      <c r="O324" t="s">
        <v>2718</v>
      </c>
    </row>
    <row r="325" spans="1:15" x14ac:dyDescent="0.25">
      <c r="A325" t="s">
        <v>2719</v>
      </c>
      <c r="B325" t="s">
        <v>2720</v>
      </c>
      <c r="C325" t="s">
        <v>2721</v>
      </c>
      <c r="D325" t="s">
        <v>2722</v>
      </c>
      <c r="E325" t="s">
        <v>2723</v>
      </c>
      <c r="F325" t="s">
        <v>2724</v>
      </c>
      <c r="G325" t="s">
        <v>2707</v>
      </c>
      <c r="H325" t="s">
        <v>2708</v>
      </c>
      <c r="I325" t="s">
        <v>299</v>
      </c>
      <c r="J325" t="s">
        <v>300</v>
      </c>
      <c r="K325" t="s">
        <v>301</v>
      </c>
      <c r="L325" t="s">
        <v>302</v>
      </c>
      <c r="M325" t="s">
        <v>2725</v>
      </c>
      <c r="N325" t="s">
        <v>2726</v>
      </c>
      <c r="O325" t="s">
        <v>2727</v>
      </c>
    </row>
    <row r="326" spans="1:15" x14ac:dyDescent="0.25">
      <c r="A326" t="s">
        <v>2728</v>
      </c>
      <c r="B326" t="s">
        <v>2729</v>
      </c>
      <c r="C326" t="s">
        <v>2730</v>
      </c>
      <c r="D326" t="s">
        <v>2731</v>
      </c>
      <c r="E326" t="s">
        <v>2732</v>
      </c>
      <c r="F326" t="s">
        <v>2730</v>
      </c>
      <c r="G326" t="s">
        <v>2707</v>
      </c>
      <c r="H326" t="s">
        <v>2708</v>
      </c>
      <c r="I326" t="s">
        <v>80</v>
      </c>
      <c r="J326" t="s">
        <v>81</v>
      </c>
      <c r="K326" t="s">
        <v>301</v>
      </c>
      <c r="L326" t="s">
        <v>302</v>
      </c>
      <c r="M326" t="s">
        <v>2442</v>
      </c>
      <c r="N326" t="s">
        <v>2443</v>
      </c>
      <c r="O326" t="s">
        <v>2733</v>
      </c>
    </row>
    <row r="327" spans="1:15" x14ac:dyDescent="0.25">
      <c r="A327" t="s">
        <v>2734</v>
      </c>
      <c r="B327" t="s">
        <v>2735</v>
      </c>
      <c r="C327" t="s">
        <v>2736</v>
      </c>
      <c r="D327" t="s">
        <v>2737</v>
      </c>
      <c r="E327" t="s">
        <v>2723</v>
      </c>
      <c r="F327" t="s">
        <v>2724</v>
      </c>
      <c r="G327" t="s">
        <v>2707</v>
      </c>
      <c r="H327" t="s">
        <v>2708</v>
      </c>
      <c r="I327" t="s">
        <v>299</v>
      </c>
      <c r="J327" t="s">
        <v>300</v>
      </c>
      <c r="K327" t="s">
        <v>301</v>
      </c>
      <c r="L327" t="s">
        <v>302</v>
      </c>
      <c r="M327" t="s">
        <v>2738</v>
      </c>
      <c r="N327" t="s">
        <v>2739</v>
      </c>
      <c r="O327" t="s">
        <v>2740</v>
      </c>
    </row>
    <row r="328" spans="1:15" x14ac:dyDescent="0.25">
      <c r="A328" t="s">
        <v>2741</v>
      </c>
      <c r="B328" t="s">
        <v>2742</v>
      </c>
      <c r="C328" t="s">
        <v>2743</v>
      </c>
      <c r="D328" t="s">
        <v>2744</v>
      </c>
      <c r="E328" t="s">
        <v>447</v>
      </c>
      <c r="F328" t="s">
        <v>448</v>
      </c>
      <c r="G328" t="s">
        <v>449</v>
      </c>
      <c r="H328" t="s">
        <v>448</v>
      </c>
      <c r="I328" t="s">
        <v>351</v>
      </c>
      <c r="J328" t="s">
        <v>352</v>
      </c>
      <c r="K328" t="s">
        <v>353</v>
      </c>
      <c r="L328" t="s">
        <v>354</v>
      </c>
      <c r="M328" t="s">
        <v>355</v>
      </c>
      <c r="N328" t="s">
        <v>356</v>
      </c>
      <c r="O328" t="s">
        <v>2745</v>
      </c>
    </row>
    <row r="329" spans="1:15" x14ac:dyDescent="0.25">
      <c r="A329" t="s">
        <v>2746</v>
      </c>
      <c r="B329" t="s">
        <v>2747</v>
      </c>
      <c r="C329" t="s">
        <v>2748</v>
      </c>
      <c r="D329" t="s">
        <v>2749</v>
      </c>
      <c r="E329" t="s">
        <v>447</v>
      </c>
      <c r="F329" t="s">
        <v>448</v>
      </c>
      <c r="G329" t="s">
        <v>449</v>
      </c>
      <c r="H329" t="s">
        <v>448</v>
      </c>
      <c r="I329" t="s">
        <v>299</v>
      </c>
      <c r="J329" t="s">
        <v>300</v>
      </c>
      <c r="K329" t="s">
        <v>353</v>
      </c>
      <c r="L329" t="s">
        <v>354</v>
      </c>
      <c r="M329" t="s">
        <v>2750</v>
      </c>
      <c r="N329" t="s">
        <v>2751</v>
      </c>
      <c r="O329" t="s">
        <v>2752</v>
      </c>
    </row>
    <row r="330" spans="1:15" x14ac:dyDescent="0.25">
      <c r="A330" t="s">
        <v>2753</v>
      </c>
      <c r="B330" t="s">
        <v>2754</v>
      </c>
      <c r="C330" t="s">
        <v>2755</v>
      </c>
      <c r="D330" t="s">
        <v>2756</v>
      </c>
      <c r="E330" t="s">
        <v>2757</v>
      </c>
      <c r="F330" t="s">
        <v>2758</v>
      </c>
      <c r="G330" t="s">
        <v>2759</v>
      </c>
      <c r="H330" t="s">
        <v>2760</v>
      </c>
      <c r="I330" t="s">
        <v>51</v>
      </c>
      <c r="J330" t="s">
        <v>52</v>
      </c>
      <c r="K330" t="s">
        <v>24</v>
      </c>
      <c r="L330" t="s">
        <v>25</v>
      </c>
      <c r="M330" t="s">
        <v>2761</v>
      </c>
      <c r="N330" t="s">
        <v>2762</v>
      </c>
      <c r="O330" t="s">
        <v>2763</v>
      </c>
    </row>
    <row r="331" spans="1:15" x14ac:dyDescent="0.25">
      <c r="A331" t="s">
        <v>2764</v>
      </c>
      <c r="B331" t="s">
        <v>2765</v>
      </c>
      <c r="C331" t="s">
        <v>2766</v>
      </c>
      <c r="D331" t="s">
        <v>2767</v>
      </c>
      <c r="E331" t="s">
        <v>2768</v>
      </c>
      <c r="F331" t="s">
        <v>2769</v>
      </c>
      <c r="G331" t="s">
        <v>123</v>
      </c>
      <c r="H331" t="s">
        <v>124</v>
      </c>
      <c r="I331" t="s">
        <v>36</v>
      </c>
      <c r="J331" t="s">
        <v>37</v>
      </c>
      <c r="K331" t="s">
        <v>24</v>
      </c>
      <c r="L331" t="s">
        <v>25</v>
      </c>
      <c r="M331" t="s">
        <v>1768</v>
      </c>
      <c r="N331" t="s">
        <v>1769</v>
      </c>
      <c r="O331" t="s">
        <v>2770</v>
      </c>
    </row>
    <row r="332" spans="1:15" x14ac:dyDescent="0.25">
      <c r="A332" t="s">
        <v>2771</v>
      </c>
      <c r="B332" t="s">
        <v>2772</v>
      </c>
      <c r="C332" t="s">
        <v>2773</v>
      </c>
      <c r="D332" t="s">
        <v>2774</v>
      </c>
      <c r="E332" t="s">
        <v>1775</v>
      </c>
      <c r="F332" t="s">
        <v>1776</v>
      </c>
      <c r="G332" t="s">
        <v>250</v>
      </c>
      <c r="H332" t="s">
        <v>251</v>
      </c>
      <c r="I332" t="s">
        <v>1777</v>
      </c>
      <c r="J332" t="s">
        <v>1778</v>
      </c>
      <c r="K332" t="s">
        <v>24</v>
      </c>
      <c r="L332" t="s">
        <v>25</v>
      </c>
      <c r="M332" t="s">
        <v>127</v>
      </c>
      <c r="N332" t="s">
        <v>128</v>
      </c>
      <c r="O332" t="s">
        <v>2775</v>
      </c>
    </row>
    <row r="333" spans="1:15" x14ac:dyDescent="0.25">
      <c r="A333" t="s">
        <v>2776</v>
      </c>
      <c r="B333" t="s">
        <v>2777</v>
      </c>
      <c r="C333" t="s">
        <v>2778</v>
      </c>
      <c r="D333" t="s">
        <v>2779</v>
      </c>
      <c r="E333" t="s">
        <v>2780</v>
      </c>
      <c r="F333" t="s">
        <v>2778</v>
      </c>
      <c r="G333" t="s">
        <v>136</v>
      </c>
      <c r="H333" t="s">
        <v>137</v>
      </c>
      <c r="I333" t="s">
        <v>36</v>
      </c>
      <c r="J333" t="s">
        <v>37</v>
      </c>
      <c r="K333" t="s">
        <v>24</v>
      </c>
      <c r="L333" t="s">
        <v>25</v>
      </c>
      <c r="M333" t="s">
        <v>1786</v>
      </c>
      <c r="N333" t="s">
        <v>1787</v>
      </c>
      <c r="O333" t="s">
        <v>2781</v>
      </c>
    </row>
    <row r="334" spans="1:15" x14ac:dyDescent="0.25">
      <c r="A334" t="s">
        <v>2782</v>
      </c>
      <c r="B334" t="s">
        <v>2783</v>
      </c>
      <c r="C334" t="s">
        <v>2784</v>
      </c>
      <c r="D334" t="s">
        <v>2785</v>
      </c>
      <c r="E334" t="s">
        <v>143</v>
      </c>
      <c r="F334" t="s">
        <v>144</v>
      </c>
      <c r="G334" t="s">
        <v>145</v>
      </c>
      <c r="H334" t="s">
        <v>146</v>
      </c>
      <c r="I334" t="s">
        <v>147</v>
      </c>
      <c r="J334" t="s">
        <v>148</v>
      </c>
      <c r="K334" t="s">
        <v>24</v>
      </c>
      <c r="L334" t="s">
        <v>25</v>
      </c>
      <c r="M334" t="s">
        <v>149</v>
      </c>
      <c r="N334" t="s">
        <v>150</v>
      </c>
      <c r="O334" t="s">
        <v>2786</v>
      </c>
    </row>
    <row r="335" spans="1:15" x14ac:dyDescent="0.25">
      <c r="A335" t="s">
        <v>2787</v>
      </c>
      <c r="B335" t="s">
        <v>2788</v>
      </c>
      <c r="C335" t="s">
        <v>2789</v>
      </c>
      <c r="D335" t="s">
        <v>2790</v>
      </c>
      <c r="E335" t="s">
        <v>1809</v>
      </c>
      <c r="F335" t="s">
        <v>1810</v>
      </c>
      <c r="G335" t="s">
        <v>849</v>
      </c>
      <c r="H335" t="s">
        <v>850</v>
      </c>
      <c r="I335" t="s">
        <v>147</v>
      </c>
      <c r="J335" t="s">
        <v>148</v>
      </c>
      <c r="K335" t="s">
        <v>24</v>
      </c>
      <c r="L335" t="s">
        <v>25</v>
      </c>
      <c r="M335" t="s">
        <v>149</v>
      </c>
      <c r="N335" t="s">
        <v>150</v>
      </c>
      <c r="O335" t="s">
        <v>2791</v>
      </c>
    </row>
    <row r="336" spans="1:15" x14ac:dyDescent="0.25">
      <c r="A336" t="s">
        <v>2792</v>
      </c>
      <c r="B336" t="s">
        <v>2793</v>
      </c>
      <c r="C336" t="s">
        <v>2794</v>
      </c>
      <c r="D336" t="s">
        <v>2795</v>
      </c>
      <c r="E336" t="s">
        <v>1816</v>
      </c>
      <c r="F336" t="s">
        <v>1817</v>
      </c>
      <c r="G336" t="s">
        <v>849</v>
      </c>
      <c r="H336" t="s">
        <v>850</v>
      </c>
      <c r="I336" t="s">
        <v>147</v>
      </c>
      <c r="J336" t="s">
        <v>148</v>
      </c>
      <c r="K336" t="s">
        <v>24</v>
      </c>
      <c r="L336" t="s">
        <v>25</v>
      </c>
      <c r="M336" t="s">
        <v>149</v>
      </c>
      <c r="N336" t="s">
        <v>150</v>
      </c>
      <c r="O336" t="s">
        <v>2796</v>
      </c>
    </row>
    <row r="337" spans="1:15" x14ac:dyDescent="0.25">
      <c r="A337" t="s">
        <v>2797</v>
      </c>
      <c r="B337" t="s">
        <v>2798</v>
      </c>
      <c r="C337" t="s">
        <v>2799</v>
      </c>
      <c r="D337" t="s">
        <v>2800</v>
      </c>
      <c r="E337" t="s">
        <v>1823</v>
      </c>
      <c r="F337" t="s">
        <v>1824</v>
      </c>
      <c r="G337" t="s">
        <v>849</v>
      </c>
      <c r="H337" t="s">
        <v>850</v>
      </c>
      <c r="I337" t="s">
        <v>147</v>
      </c>
      <c r="J337" t="s">
        <v>148</v>
      </c>
      <c r="K337" t="s">
        <v>24</v>
      </c>
      <c r="L337" t="s">
        <v>25</v>
      </c>
      <c r="M337" t="s">
        <v>149</v>
      </c>
      <c r="N337" t="s">
        <v>150</v>
      </c>
      <c r="O337" t="s">
        <v>2801</v>
      </c>
    </row>
    <row r="338" spans="1:15" x14ac:dyDescent="0.25">
      <c r="A338" t="s">
        <v>2802</v>
      </c>
      <c r="B338" t="s">
        <v>2803</v>
      </c>
      <c r="C338" t="s">
        <v>2804</v>
      </c>
      <c r="D338" t="s">
        <v>2805</v>
      </c>
      <c r="E338" t="s">
        <v>1830</v>
      </c>
      <c r="F338" t="s">
        <v>1831</v>
      </c>
      <c r="G338" t="s">
        <v>250</v>
      </c>
      <c r="H338" t="s">
        <v>251</v>
      </c>
      <c r="I338" t="s">
        <v>252</v>
      </c>
      <c r="J338" t="s">
        <v>253</v>
      </c>
      <c r="K338" t="s">
        <v>24</v>
      </c>
      <c r="L338" t="s">
        <v>25</v>
      </c>
      <c r="M338" t="s">
        <v>127</v>
      </c>
      <c r="N338" t="s">
        <v>128</v>
      </c>
      <c r="O338" t="s">
        <v>2806</v>
      </c>
    </row>
    <row r="339" spans="1:15" x14ac:dyDescent="0.25">
      <c r="A339" t="s">
        <v>2807</v>
      </c>
      <c r="B339" t="s">
        <v>2808</v>
      </c>
      <c r="C339" t="s">
        <v>2809</v>
      </c>
      <c r="D339" t="s">
        <v>2810</v>
      </c>
      <c r="E339" t="s">
        <v>33</v>
      </c>
      <c r="F339" t="s">
        <v>34</v>
      </c>
      <c r="G339" t="s">
        <v>35</v>
      </c>
      <c r="H339" t="s">
        <v>34</v>
      </c>
      <c r="I339" t="s">
        <v>36</v>
      </c>
      <c r="J339" t="s">
        <v>37</v>
      </c>
      <c r="K339" t="s">
        <v>24</v>
      </c>
      <c r="L339" t="s">
        <v>25</v>
      </c>
      <c r="M339" t="s">
        <v>156</v>
      </c>
      <c r="N339" t="s">
        <v>157</v>
      </c>
      <c r="O339" t="s">
        <v>2811</v>
      </c>
    </row>
    <row r="340" spans="1:15" x14ac:dyDescent="0.25">
      <c r="A340" t="s">
        <v>2812</v>
      </c>
      <c r="B340" t="s">
        <v>2813</v>
      </c>
      <c r="C340" t="s">
        <v>2814</v>
      </c>
      <c r="D340" t="s">
        <v>2815</v>
      </c>
      <c r="E340" t="s">
        <v>2816</v>
      </c>
      <c r="F340" t="s">
        <v>2817</v>
      </c>
      <c r="G340" t="s">
        <v>2818</v>
      </c>
      <c r="H340" t="s">
        <v>2819</v>
      </c>
      <c r="I340" t="s">
        <v>51</v>
      </c>
      <c r="J340" t="s">
        <v>52</v>
      </c>
      <c r="K340" t="s">
        <v>24</v>
      </c>
      <c r="L340" t="s">
        <v>25</v>
      </c>
      <c r="M340" t="s">
        <v>2820</v>
      </c>
      <c r="N340" t="s">
        <v>2821</v>
      </c>
      <c r="O340" t="s">
        <v>2822</v>
      </c>
    </row>
    <row r="341" spans="1:15" x14ac:dyDescent="0.25">
      <c r="A341" t="s">
        <v>2823</v>
      </c>
      <c r="B341" t="s">
        <v>2824</v>
      </c>
      <c r="C341" t="s">
        <v>2825</v>
      </c>
      <c r="D341" t="s">
        <v>2826</v>
      </c>
      <c r="E341" t="s">
        <v>2827</v>
      </c>
      <c r="F341" t="s">
        <v>2828</v>
      </c>
      <c r="G341" t="s">
        <v>49</v>
      </c>
      <c r="H341" t="s">
        <v>50</v>
      </c>
      <c r="I341" t="s">
        <v>163</v>
      </c>
      <c r="J341" t="s">
        <v>164</v>
      </c>
      <c r="K341" t="s">
        <v>24</v>
      </c>
      <c r="L341" t="s">
        <v>25</v>
      </c>
      <c r="M341" t="s">
        <v>53</v>
      </c>
      <c r="N341" t="s">
        <v>54</v>
      </c>
      <c r="O341" t="s">
        <v>2829</v>
      </c>
    </row>
    <row r="342" spans="1:15" x14ac:dyDescent="0.25">
      <c r="A342" t="s">
        <v>2830</v>
      </c>
      <c r="B342" t="s">
        <v>2831</v>
      </c>
      <c r="C342" t="s">
        <v>2832</v>
      </c>
      <c r="D342" t="s">
        <v>2833</v>
      </c>
      <c r="E342" t="s">
        <v>2827</v>
      </c>
      <c r="F342" t="s">
        <v>2828</v>
      </c>
      <c r="G342" t="s">
        <v>49</v>
      </c>
      <c r="H342" t="s">
        <v>50</v>
      </c>
      <c r="I342" t="s">
        <v>51</v>
      </c>
      <c r="J342" t="s">
        <v>52</v>
      </c>
      <c r="K342" t="s">
        <v>24</v>
      </c>
      <c r="L342" t="s">
        <v>25</v>
      </c>
      <c r="M342" t="s">
        <v>1849</v>
      </c>
      <c r="N342" t="s">
        <v>1850</v>
      </c>
      <c r="O342" t="s">
        <v>2834</v>
      </c>
    </row>
    <row r="343" spans="1:15" x14ac:dyDescent="0.25">
      <c r="A343" t="s">
        <v>2835</v>
      </c>
      <c r="B343" t="s">
        <v>2836</v>
      </c>
      <c r="C343" t="s">
        <v>2837</v>
      </c>
      <c r="D343" t="s">
        <v>2838</v>
      </c>
      <c r="E343" t="s">
        <v>217</v>
      </c>
      <c r="F343" t="s">
        <v>218</v>
      </c>
      <c r="G343" t="s">
        <v>21</v>
      </c>
      <c r="H343" t="s">
        <v>17</v>
      </c>
      <c r="I343" t="s">
        <v>219</v>
      </c>
      <c r="J343" t="s">
        <v>218</v>
      </c>
      <c r="K343" t="s">
        <v>24</v>
      </c>
      <c r="L343" t="s">
        <v>25</v>
      </c>
      <c r="M343" t="s">
        <v>220</v>
      </c>
      <c r="N343" t="s">
        <v>221</v>
      </c>
      <c r="O343" t="s">
        <v>2839</v>
      </c>
    </row>
    <row r="344" spans="1:15" x14ac:dyDescent="0.25">
      <c r="A344" t="s">
        <v>2840</v>
      </c>
      <c r="B344" t="s">
        <v>2841</v>
      </c>
      <c r="C344" t="s">
        <v>2842</v>
      </c>
      <c r="D344" t="s">
        <v>2843</v>
      </c>
      <c r="E344" t="s">
        <v>2844</v>
      </c>
      <c r="F344" t="s">
        <v>2845</v>
      </c>
      <c r="G344" t="s">
        <v>2846</v>
      </c>
      <c r="H344" t="s">
        <v>2847</v>
      </c>
      <c r="I344" t="s">
        <v>2000</v>
      </c>
      <c r="J344" t="s">
        <v>2001</v>
      </c>
      <c r="K344" t="s">
        <v>24</v>
      </c>
      <c r="L344" t="s">
        <v>25</v>
      </c>
      <c r="M344" t="s">
        <v>2848</v>
      </c>
      <c r="N344" t="s">
        <v>2849</v>
      </c>
      <c r="O344" t="s">
        <v>2850</v>
      </c>
    </row>
    <row r="345" spans="1:15" x14ac:dyDescent="0.25">
      <c r="A345" t="s">
        <v>2851</v>
      </c>
      <c r="B345" t="s">
        <v>2852</v>
      </c>
      <c r="C345" t="s">
        <v>2853</v>
      </c>
      <c r="D345" t="s">
        <v>2854</v>
      </c>
      <c r="E345" t="s">
        <v>2855</v>
      </c>
      <c r="F345" t="s">
        <v>2856</v>
      </c>
      <c r="G345" t="s">
        <v>229</v>
      </c>
      <c r="H345" t="s">
        <v>230</v>
      </c>
      <c r="I345" t="s">
        <v>51</v>
      </c>
      <c r="J345" t="s">
        <v>52</v>
      </c>
      <c r="K345" t="s">
        <v>24</v>
      </c>
      <c r="L345" t="s">
        <v>25</v>
      </c>
      <c r="M345" t="s">
        <v>2857</v>
      </c>
      <c r="N345" t="s">
        <v>2858</v>
      </c>
      <c r="O345" t="s">
        <v>2859</v>
      </c>
    </row>
    <row r="346" spans="1:15" x14ac:dyDescent="0.25">
      <c r="A346" t="s">
        <v>2860</v>
      </c>
      <c r="B346" t="s">
        <v>2861</v>
      </c>
      <c r="C346" t="s">
        <v>2862</v>
      </c>
      <c r="D346" t="s">
        <v>2863</v>
      </c>
      <c r="E346" t="s">
        <v>2864</v>
      </c>
      <c r="F346" t="s">
        <v>2865</v>
      </c>
      <c r="G346" t="s">
        <v>2866</v>
      </c>
      <c r="H346" t="s">
        <v>2867</v>
      </c>
      <c r="I346" t="s">
        <v>36</v>
      </c>
      <c r="J346" t="s">
        <v>37</v>
      </c>
      <c r="K346" t="s">
        <v>24</v>
      </c>
      <c r="L346" t="s">
        <v>25</v>
      </c>
      <c r="M346" t="s">
        <v>1912</v>
      </c>
      <c r="N346" t="s">
        <v>1913</v>
      </c>
      <c r="O346" t="s">
        <v>2868</v>
      </c>
    </row>
    <row r="347" spans="1:15" x14ac:dyDescent="0.25">
      <c r="A347" t="s">
        <v>2869</v>
      </c>
      <c r="B347" t="s">
        <v>2870</v>
      </c>
      <c r="C347" t="s">
        <v>2871</v>
      </c>
      <c r="D347" t="s">
        <v>2872</v>
      </c>
      <c r="E347" t="s">
        <v>2873</v>
      </c>
      <c r="F347" t="s">
        <v>2874</v>
      </c>
      <c r="G347" t="s">
        <v>2875</v>
      </c>
      <c r="H347" t="s">
        <v>2876</v>
      </c>
      <c r="I347" t="s">
        <v>36</v>
      </c>
      <c r="J347" t="s">
        <v>37</v>
      </c>
      <c r="K347" t="s">
        <v>24</v>
      </c>
      <c r="L347" t="s">
        <v>25</v>
      </c>
      <c r="M347" t="s">
        <v>1923</v>
      </c>
      <c r="N347" t="s">
        <v>1924</v>
      </c>
      <c r="O347" t="s">
        <v>2877</v>
      </c>
    </row>
    <row r="348" spans="1:15" x14ac:dyDescent="0.25">
      <c r="A348" t="s">
        <v>2878</v>
      </c>
      <c r="B348" t="s">
        <v>2879</v>
      </c>
      <c r="C348" t="s">
        <v>2880</v>
      </c>
      <c r="D348" t="s">
        <v>2881</v>
      </c>
      <c r="E348" t="s">
        <v>2882</v>
      </c>
      <c r="F348" t="s">
        <v>2883</v>
      </c>
      <c r="G348" t="s">
        <v>2884</v>
      </c>
      <c r="H348" t="s">
        <v>2885</v>
      </c>
      <c r="I348" t="s">
        <v>163</v>
      </c>
      <c r="J348" t="s">
        <v>164</v>
      </c>
      <c r="K348" t="s">
        <v>24</v>
      </c>
      <c r="L348" t="s">
        <v>25</v>
      </c>
      <c r="M348" t="s">
        <v>93</v>
      </c>
      <c r="N348" t="s">
        <v>94</v>
      </c>
      <c r="O348" t="s">
        <v>2886</v>
      </c>
    </row>
    <row r="349" spans="1:15" x14ac:dyDescent="0.25">
      <c r="A349" t="s">
        <v>2887</v>
      </c>
      <c r="B349" t="s">
        <v>2888</v>
      </c>
      <c r="C349" t="s">
        <v>2889</v>
      </c>
      <c r="D349" t="s">
        <v>2890</v>
      </c>
      <c r="E349" t="s">
        <v>89</v>
      </c>
      <c r="F349" t="s">
        <v>90</v>
      </c>
      <c r="G349" t="s">
        <v>21</v>
      </c>
      <c r="H349" t="s">
        <v>17</v>
      </c>
      <c r="I349" t="s">
        <v>91</v>
      </c>
      <c r="J349" t="s">
        <v>92</v>
      </c>
      <c r="K349" t="s">
        <v>38</v>
      </c>
      <c r="L349" t="s">
        <v>39</v>
      </c>
      <c r="M349" t="s">
        <v>93</v>
      </c>
      <c r="N349" t="s">
        <v>94</v>
      </c>
      <c r="O349" t="s">
        <v>2891</v>
      </c>
    </row>
    <row r="350" spans="1:15" x14ac:dyDescent="0.25">
      <c r="A350" t="s">
        <v>2892</v>
      </c>
      <c r="B350" t="s">
        <v>2893</v>
      </c>
      <c r="C350" t="s">
        <v>2894</v>
      </c>
      <c r="D350" t="s">
        <v>2895</v>
      </c>
      <c r="E350" t="s">
        <v>2896</v>
      </c>
      <c r="F350" t="s">
        <v>2897</v>
      </c>
      <c r="G350" t="s">
        <v>625</v>
      </c>
      <c r="H350" t="s">
        <v>626</v>
      </c>
      <c r="I350" t="s">
        <v>163</v>
      </c>
      <c r="J350" t="s">
        <v>164</v>
      </c>
      <c r="K350" t="s">
        <v>24</v>
      </c>
      <c r="L350" t="s">
        <v>25</v>
      </c>
      <c r="M350" t="s">
        <v>109</v>
      </c>
      <c r="N350" t="s">
        <v>110</v>
      </c>
      <c r="O350" t="s">
        <v>2898</v>
      </c>
    </row>
    <row r="351" spans="1:15" x14ac:dyDescent="0.25">
      <c r="A351" t="s">
        <v>2899</v>
      </c>
      <c r="B351" t="s">
        <v>2900</v>
      </c>
      <c r="C351" t="s">
        <v>2901</v>
      </c>
      <c r="D351" t="s">
        <v>2902</v>
      </c>
      <c r="E351" t="s">
        <v>2896</v>
      </c>
      <c r="F351" t="s">
        <v>2897</v>
      </c>
      <c r="G351" t="s">
        <v>625</v>
      </c>
      <c r="H351" t="s">
        <v>626</v>
      </c>
      <c r="I351" t="s">
        <v>51</v>
      </c>
      <c r="J351" t="s">
        <v>52</v>
      </c>
      <c r="K351" t="s">
        <v>24</v>
      </c>
      <c r="L351" t="s">
        <v>25</v>
      </c>
      <c r="M351" t="s">
        <v>1849</v>
      </c>
      <c r="N351" t="s">
        <v>1850</v>
      </c>
      <c r="O351" t="s">
        <v>2903</v>
      </c>
    </row>
    <row r="352" spans="1:15" x14ac:dyDescent="0.25">
      <c r="A352" t="s">
        <v>2904</v>
      </c>
      <c r="B352" t="s">
        <v>2905</v>
      </c>
      <c r="C352" t="s">
        <v>2906</v>
      </c>
      <c r="D352" t="s">
        <v>2907</v>
      </c>
      <c r="E352" t="s">
        <v>1990</v>
      </c>
      <c r="F352" t="s">
        <v>1991</v>
      </c>
      <c r="G352" t="s">
        <v>250</v>
      </c>
      <c r="H352" t="s">
        <v>251</v>
      </c>
      <c r="I352" t="s">
        <v>252</v>
      </c>
      <c r="J352" t="s">
        <v>253</v>
      </c>
      <c r="K352" t="s">
        <v>24</v>
      </c>
      <c r="L352" t="s">
        <v>25</v>
      </c>
      <c r="M352" t="s">
        <v>127</v>
      </c>
      <c r="N352" t="s">
        <v>128</v>
      </c>
      <c r="O352" t="s">
        <v>2908</v>
      </c>
    </row>
    <row r="353" spans="1:15" x14ac:dyDescent="0.25">
      <c r="A353" t="s">
        <v>2909</v>
      </c>
      <c r="B353" t="s">
        <v>2910</v>
      </c>
      <c r="C353" t="s">
        <v>2911</v>
      </c>
      <c r="D353" t="s">
        <v>2912</v>
      </c>
      <c r="E353" t="s">
        <v>2913</v>
      </c>
      <c r="F353" t="s">
        <v>2911</v>
      </c>
      <c r="G353" t="s">
        <v>2579</v>
      </c>
      <c r="H353" t="s">
        <v>2580</v>
      </c>
      <c r="I353" t="s">
        <v>299</v>
      </c>
      <c r="J353" t="s">
        <v>300</v>
      </c>
      <c r="K353" t="s">
        <v>353</v>
      </c>
      <c r="L353" t="s">
        <v>354</v>
      </c>
      <c r="M353" t="s">
        <v>2914</v>
      </c>
      <c r="N353" t="s">
        <v>2915</v>
      </c>
      <c r="O353" t="s">
        <v>2916</v>
      </c>
    </row>
    <row r="354" spans="1:15" x14ac:dyDescent="0.25">
      <c r="A354" t="s">
        <v>2917</v>
      </c>
      <c r="B354" t="s">
        <v>2918</v>
      </c>
      <c r="C354" t="s">
        <v>2919</v>
      </c>
      <c r="D354" t="s">
        <v>2920</v>
      </c>
      <c r="E354" t="s">
        <v>2921</v>
      </c>
      <c r="F354" t="s">
        <v>372</v>
      </c>
      <c r="G354" t="s">
        <v>371</v>
      </c>
      <c r="H354" t="s">
        <v>372</v>
      </c>
      <c r="I354" t="s">
        <v>299</v>
      </c>
      <c r="J354" t="s">
        <v>300</v>
      </c>
      <c r="K354" t="s">
        <v>2922</v>
      </c>
      <c r="L354" t="s">
        <v>2923</v>
      </c>
      <c r="M354" t="s">
        <v>2924</v>
      </c>
      <c r="N354" t="s">
        <v>2925</v>
      </c>
      <c r="O354" t="s">
        <v>2926</v>
      </c>
    </row>
    <row r="355" spans="1:15" x14ac:dyDescent="0.25">
      <c r="A355" t="s">
        <v>2927</v>
      </c>
      <c r="B355" t="s">
        <v>2928</v>
      </c>
      <c r="C355" t="s">
        <v>2929</v>
      </c>
      <c r="D355" t="s">
        <v>2930</v>
      </c>
      <c r="E355" t="s">
        <v>2927</v>
      </c>
      <c r="F355" t="s">
        <v>2928</v>
      </c>
      <c r="G355" t="s">
        <v>2599</v>
      </c>
      <c r="H355" t="s">
        <v>2600</v>
      </c>
      <c r="I355" t="s">
        <v>2467</v>
      </c>
      <c r="J355" t="s">
        <v>2468</v>
      </c>
      <c r="K355" t="s">
        <v>2922</v>
      </c>
      <c r="L355" t="s">
        <v>2923</v>
      </c>
      <c r="M355" t="s">
        <v>2540</v>
      </c>
      <c r="N355" t="s">
        <v>2541</v>
      </c>
      <c r="O355" t="s">
        <v>2931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fiche</vt:lpstr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xdelpuech</dc:creator>
  <cp:lastModifiedBy>DELPUECH Xavier</cp:lastModifiedBy>
  <dcterms:created xsi:type="dcterms:W3CDTF">2025-04-24T10:37:17Z</dcterms:created>
  <dcterms:modified xsi:type="dcterms:W3CDTF">2025-10-17T14:09:39Z</dcterms:modified>
</cp:coreProperties>
</file>